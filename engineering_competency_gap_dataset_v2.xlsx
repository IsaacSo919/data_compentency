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i Shek So\Documents\Codex\2026-05-22\files-mentioned-by-the-user-isaac\outputs\ge_competency_gap_dataset\"/>
    </mc:Choice>
  </mc:AlternateContent>
  <xr:revisionPtr revIDLastSave="0" documentId="13_ncr:1_{3ADBEBF3-95D1-4662-A146-874BE37D003E}" xr6:coauthVersionLast="47" xr6:coauthVersionMax="47" xr10:uidLastSave="{00000000-0000-0000-0000-000000000000}"/>
  <bookViews>
    <workbookView xWindow="-98" yWindow="-98" windowWidth="19396" windowHeight="11475" firstSheet="2" activeTab="5" xr2:uid="{00000000-000D-0000-FFFF-FFFF00000000}"/>
  </bookViews>
  <sheets>
    <sheet name="Project Brief" sheetId="1" r:id="rId1"/>
    <sheet name="employees" sheetId="3" r:id="rId2"/>
    <sheet name="competency_model" sheetId="4" r:id="rId3"/>
    <sheet name="assessments" sheetId="5" r:id="rId4"/>
    <sheet name="training_actions" sheetId="6" r:id="rId5"/>
    <sheet name="assessment_history" sheetId="7" r:id="rId6"/>
    <sheet name="evidence_log" sheetId="8" r:id="rId7"/>
    <sheet name="access_audit" sheetId="9" r:id="rId8"/>
    <sheet name="competency_targets" sheetId="10" r:id="rId9"/>
    <sheet name="dashboard_seed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1" l="1"/>
  <c r="K17" i="11"/>
  <c r="N16" i="11"/>
  <c r="K16" i="11"/>
  <c r="N15" i="11"/>
  <c r="K15" i="11"/>
  <c r="N14" i="11"/>
  <c r="K14" i="11"/>
  <c r="B14" i="11"/>
  <c r="N13" i="11"/>
  <c r="K13" i="11"/>
  <c r="N12" i="11"/>
  <c r="K12" i="11"/>
  <c r="B12" i="11"/>
  <c r="B11" i="11"/>
  <c r="B10" i="11"/>
  <c r="M8" i="11"/>
  <c r="M7" i="11"/>
  <c r="M6" i="11"/>
  <c r="K6" i="11"/>
  <c r="B6" i="11"/>
  <c r="M5" i="11"/>
  <c r="B5" i="11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G381" i="7"/>
  <c r="F381" i="7"/>
  <c r="G380" i="7"/>
  <c r="F380" i="7"/>
  <c r="G379" i="7"/>
  <c r="F379" i="7"/>
  <c r="G378" i="7"/>
  <c r="F378" i="7"/>
  <c r="G377" i="7"/>
  <c r="F377" i="7"/>
  <c r="G376" i="7"/>
  <c r="F376" i="7"/>
  <c r="G375" i="7"/>
  <c r="F375" i="7"/>
  <c r="G374" i="7"/>
  <c r="F374" i="7"/>
  <c r="G373" i="7"/>
  <c r="F373" i="7"/>
  <c r="G372" i="7"/>
  <c r="F372" i="7"/>
  <c r="G371" i="7"/>
  <c r="F371" i="7"/>
  <c r="G370" i="7"/>
  <c r="F370" i="7"/>
  <c r="G369" i="7"/>
  <c r="F369" i="7"/>
  <c r="G368" i="7"/>
  <c r="F368" i="7"/>
  <c r="G367" i="7"/>
  <c r="F367" i="7"/>
  <c r="G366" i="7"/>
  <c r="F366" i="7"/>
  <c r="G365" i="7"/>
  <c r="F365" i="7"/>
  <c r="G364" i="7"/>
  <c r="F364" i="7"/>
  <c r="G363" i="7"/>
  <c r="F363" i="7"/>
  <c r="G362" i="7"/>
  <c r="F362" i="7"/>
  <c r="G361" i="7"/>
  <c r="F361" i="7"/>
  <c r="G360" i="7"/>
  <c r="F360" i="7"/>
  <c r="G359" i="7"/>
  <c r="F359" i="7"/>
  <c r="G358" i="7"/>
  <c r="F358" i="7"/>
  <c r="G357" i="7"/>
  <c r="F357" i="7"/>
  <c r="G356" i="7"/>
  <c r="F356" i="7"/>
  <c r="G355" i="7"/>
  <c r="F355" i="7"/>
  <c r="G354" i="7"/>
  <c r="F354" i="7"/>
  <c r="G353" i="7"/>
  <c r="F353" i="7"/>
  <c r="G352" i="7"/>
  <c r="F352" i="7"/>
  <c r="G351" i="7"/>
  <c r="F351" i="7"/>
  <c r="G350" i="7"/>
  <c r="F350" i="7"/>
  <c r="G349" i="7"/>
  <c r="F349" i="7"/>
  <c r="G348" i="7"/>
  <c r="F348" i="7"/>
  <c r="G347" i="7"/>
  <c r="F347" i="7"/>
  <c r="G346" i="7"/>
  <c r="F346" i="7"/>
  <c r="G345" i="7"/>
  <c r="F345" i="7"/>
  <c r="G344" i="7"/>
  <c r="F344" i="7"/>
  <c r="G343" i="7"/>
  <c r="F343" i="7"/>
  <c r="G342" i="7"/>
  <c r="F342" i="7"/>
  <c r="G341" i="7"/>
  <c r="F341" i="7"/>
  <c r="G340" i="7"/>
  <c r="F340" i="7"/>
  <c r="G339" i="7"/>
  <c r="F339" i="7"/>
  <c r="G338" i="7"/>
  <c r="F338" i="7"/>
  <c r="G337" i="7"/>
  <c r="F337" i="7"/>
  <c r="G336" i="7"/>
  <c r="F336" i="7"/>
  <c r="G335" i="7"/>
  <c r="F335" i="7"/>
  <c r="G334" i="7"/>
  <c r="F334" i="7"/>
  <c r="G333" i="7"/>
  <c r="F333" i="7"/>
  <c r="G332" i="7"/>
  <c r="F332" i="7"/>
  <c r="G331" i="7"/>
  <c r="F331" i="7"/>
  <c r="G330" i="7"/>
  <c r="F330" i="7"/>
  <c r="G329" i="7"/>
  <c r="F329" i="7"/>
  <c r="G328" i="7"/>
  <c r="F328" i="7"/>
  <c r="G327" i="7"/>
  <c r="F327" i="7"/>
  <c r="G326" i="7"/>
  <c r="F326" i="7"/>
  <c r="G325" i="7"/>
  <c r="F325" i="7"/>
  <c r="G324" i="7"/>
  <c r="F324" i="7"/>
  <c r="G323" i="7"/>
  <c r="F323" i="7"/>
  <c r="G322" i="7"/>
  <c r="F322" i="7"/>
  <c r="G321" i="7"/>
  <c r="F321" i="7"/>
  <c r="G320" i="7"/>
  <c r="F320" i="7"/>
  <c r="G319" i="7"/>
  <c r="F319" i="7"/>
  <c r="G318" i="7"/>
  <c r="F318" i="7"/>
  <c r="G317" i="7"/>
  <c r="F317" i="7"/>
  <c r="G316" i="7"/>
  <c r="F316" i="7"/>
  <c r="G315" i="7"/>
  <c r="F315" i="7"/>
  <c r="G314" i="7"/>
  <c r="F314" i="7"/>
  <c r="G313" i="7"/>
  <c r="F313" i="7"/>
  <c r="G312" i="7"/>
  <c r="F312" i="7"/>
  <c r="G311" i="7"/>
  <c r="F311" i="7"/>
  <c r="G310" i="7"/>
  <c r="F310" i="7"/>
  <c r="G309" i="7"/>
  <c r="F309" i="7"/>
  <c r="G308" i="7"/>
  <c r="F308" i="7"/>
  <c r="G307" i="7"/>
  <c r="F307" i="7"/>
  <c r="G306" i="7"/>
  <c r="F306" i="7"/>
  <c r="G305" i="7"/>
  <c r="F305" i="7"/>
  <c r="G304" i="7"/>
  <c r="F304" i="7"/>
  <c r="G303" i="7"/>
  <c r="F303" i="7"/>
  <c r="G302" i="7"/>
  <c r="F302" i="7"/>
  <c r="G301" i="7"/>
  <c r="F301" i="7"/>
  <c r="G300" i="7"/>
  <c r="F300" i="7"/>
  <c r="G299" i="7"/>
  <c r="F299" i="7"/>
  <c r="G298" i="7"/>
  <c r="F298" i="7"/>
  <c r="G297" i="7"/>
  <c r="F297" i="7"/>
  <c r="G296" i="7"/>
  <c r="F296" i="7"/>
  <c r="G295" i="7"/>
  <c r="F295" i="7"/>
  <c r="G294" i="7"/>
  <c r="F294" i="7"/>
  <c r="G293" i="7"/>
  <c r="F293" i="7"/>
  <c r="G292" i="7"/>
  <c r="F292" i="7"/>
  <c r="G291" i="7"/>
  <c r="F291" i="7"/>
  <c r="G290" i="7"/>
  <c r="F290" i="7"/>
  <c r="G289" i="7"/>
  <c r="F289" i="7"/>
  <c r="G288" i="7"/>
  <c r="F288" i="7"/>
  <c r="G287" i="7"/>
  <c r="F287" i="7"/>
  <c r="G286" i="7"/>
  <c r="F286" i="7"/>
  <c r="G285" i="7"/>
  <c r="F285" i="7"/>
  <c r="G284" i="7"/>
  <c r="F284" i="7"/>
  <c r="G283" i="7"/>
  <c r="F283" i="7"/>
  <c r="G282" i="7"/>
  <c r="F282" i="7"/>
  <c r="G281" i="7"/>
  <c r="F281" i="7"/>
  <c r="G280" i="7"/>
  <c r="F280" i="7"/>
  <c r="G279" i="7"/>
  <c r="F279" i="7"/>
  <c r="G278" i="7"/>
  <c r="F278" i="7"/>
  <c r="G277" i="7"/>
  <c r="F277" i="7"/>
  <c r="G276" i="7"/>
  <c r="F276" i="7"/>
  <c r="G275" i="7"/>
  <c r="F275" i="7"/>
  <c r="G274" i="7"/>
  <c r="F274" i="7"/>
  <c r="G273" i="7"/>
  <c r="F273" i="7"/>
  <c r="G272" i="7"/>
  <c r="F272" i="7"/>
  <c r="G271" i="7"/>
  <c r="F271" i="7"/>
  <c r="G270" i="7"/>
  <c r="F270" i="7"/>
  <c r="G269" i="7"/>
  <c r="F269" i="7"/>
  <c r="G268" i="7"/>
  <c r="F268" i="7"/>
  <c r="G267" i="7"/>
  <c r="F267" i="7"/>
  <c r="G266" i="7"/>
  <c r="F266" i="7"/>
  <c r="G265" i="7"/>
  <c r="F265" i="7"/>
  <c r="G264" i="7"/>
  <c r="F264" i="7"/>
  <c r="G263" i="7"/>
  <c r="F263" i="7"/>
  <c r="G262" i="7"/>
  <c r="F262" i="7"/>
  <c r="G261" i="7"/>
  <c r="F261" i="7"/>
  <c r="G260" i="7"/>
  <c r="F260" i="7"/>
  <c r="G259" i="7"/>
  <c r="F259" i="7"/>
  <c r="G258" i="7"/>
  <c r="F258" i="7"/>
  <c r="G257" i="7"/>
  <c r="F257" i="7"/>
  <c r="G256" i="7"/>
  <c r="F256" i="7"/>
  <c r="G255" i="7"/>
  <c r="F255" i="7"/>
  <c r="G254" i="7"/>
  <c r="F254" i="7"/>
  <c r="G253" i="7"/>
  <c r="F253" i="7"/>
  <c r="G252" i="7"/>
  <c r="F252" i="7"/>
  <c r="G251" i="7"/>
  <c r="F251" i="7"/>
  <c r="G250" i="7"/>
  <c r="F250" i="7"/>
  <c r="G249" i="7"/>
  <c r="F249" i="7"/>
  <c r="G248" i="7"/>
  <c r="F248" i="7"/>
  <c r="G247" i="7"/>
  <c r="F247" i="7"/>
  <c r="G246" i="7"/>
  <c r="F246" i="7"/>
  <c r="G245" i="7"/>
  <c r="F245" i="7"/>
  <c r="G244" i="7"/>
  <c r="F244" i="7"/>
  <c r="G243" i="7"/>
  <c r="F243" i="7"/>
  <c r="G242" i="7"/>
  <c r="F242" i="7"/>
  <c r="G241" i="7"/>
  <c r="F241" i="7"/>
  <c r="G240" i="7"/>
  <c r="F240" i="7"/>
  <c r="G239" i="7"/>
  <c r="F239" i="7"/>
  <c r="G238" i="7"/>
  <c r="F238" i="7"/>
  <c r="G237" i="7"/>
  <c r="F237" i="7"/>
  <c r="G236" i="7"/>
  <c r="F236" i="7"/>
  <c r="G235" i="7"/>
  <c r="F235" i="7"/>
  <c r="G234" i="7"/>
  <c r="F234" i="7"/>
  <c r="G233" i="7"/>
  <c r="F233" i="7"/>
  <c r="G232" i="7"/>
  <c r="F232" i="7"/>
  <c r="G231" i="7"/>
  <c r="F231" i="7"/>
  <c r="G230" i="7"/>
  <c r="F230" i="7"/>
  <c r="G229" i="7"/>
  <c r="F229" i="7"/>
  <c r="G228" i="7"/>
  <c r="F228" i="7"/>
  <c r="G227" i="7"/>
  <c r="F227" i="7"/>
  <c r="G226" i="7"/>
  <c r="F226" i="7"/>
  <c r="G225" i="7"/>
  <c r="F225" i="7"/>
  <c r="G224" i="7"/>
  <c r="F224" i="7"/>
  <c r="G223" i="7"/>
  <c r="F223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G213" i="7"/>
  <c r="F213" i="7"/>
  <c r="G212" i="7"/>
  <c r="F212" i="7"/>
  <c r="G211" i="7"/>
  <c r="F211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G165" i="7"/>
  <c r="F165" i="7"/>
  <c r="G164" i="7"/>
  <c r="F164" i="7"/>
  <c r="G163" i="7"/>
  <c r="F163" i="7"/>
  <c r="G162" i="7"/>
  <c r="F162" i="7"/>
  <c r="G161" i="7"/>
  <c r="F161" i="7"/>
  <c r="G160" i="7"/>
  <c r="F160" i="7"/>
  <c r="G159" i="7"/>
  <c r="F159" i="7"/>
  <c r="G158" i="7"/>
  <c r="F158" i="7"/>
  <c r="G157" i="7"/>
  <c r="F157" i="7"/>
  <c r="G156" i="7"/>
  <c r="F156" i="7"/>
  <c r="G155" i="7"/>
  <c r="F155" i="7"/>
  <c r="G154" i="7"/>
  <c r="F154" i="7"/>
  <c r="G153" i="7"/>
  <c r="F153" i="7"/>
  <c r="G152" i="7"/>
  <c r="F152" i="7"/>
  <c r="G151" i="7"/>
  <c r="F151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G141" i="7"/>
  <c r="F141" i="7"/>
  <c r="G140" i="7"/>
  <c r="F140" i="7"/>
  <c r="G139" i="7"/>
  <c r="F139" i="7"/>
  <c r="G138" i="7"/>
  <c r="F138" i="7"/>
  <c r="G137" i="7"/>
  <c r="F137" i="7"/>
  <c r="G136" i="7"/>
  <c r="F136" i="7"/>
  <c r="G135" i="7"/>
  <c r="F135" i="7"/>
  <c r="G134" i="7"/>
  <c r="F134" i="7"/>
  <c r="G133" i="7"/>
  <c r="F133" i="7"/>
  <c r="G132" i="7"/>
  <c r="F132" i="7"/>
  <c r="G131" i="7"/>
  <c r="F131" i="7"/>
  <c r="G130" i="7"/>
  <c r="F130" i="7"/>
  <c r="G129" i="7"/>
  <c r="F129" i="7"/>
  <c r="G128" i="7"/>
  <c r="F128" i="7"/>
  <c r="G127" i="7"/>
  <c r="F127" i="7"/>
  <c r="G126" i="7"/>
  <c r="F126" i="7"/>
  <c r="G125" i="7"/>
  <c r="F125" i="7"/>
  <c r="G124" i="7"/>
  <c r="F124" i="7"/>
  <c r="G123" i="7"/>
  <c r="F123" i="7"/>
  <c r="G122" i="7"/>
  <c r="F122" i="7"/>
  <c r="G121" i="7"/>
  <c r="F121" i="7"/>
  <c r="G120" i="7"/>
  <c r="F120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G112" i="7"/>
  <c r="F112" i="7"/>
  <c r="G111" i="7"/>
  <c r="F111" i="7"/>
  <c r="G110" i="7"/>
  <c r="F110" i="7"/>
  <c r="G109" i="7"/>
  <c r="F109" i="7"/>
  <c r="G108" i="7"/>
  <c r="F108" i="7"/>
  <c r="G107" i="7"/>
  <c r="F107" i="7"/>
  <c r="G106" i="7"/>
  <c r="F106" i="7"/>
  <c r="G105" i="7"/>
  <c r="F105" i="7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L6" i="11" s="1"/>
  <c r="N6" i="11" s="1"/>
  <c r="F7" i="7"/>
  <c r="G6" i="7"/>
  <c r="F6" i="7"/>
  <c r="G5" i="7"/>
  <c r="L8" i="11" s="1"/>
  <c r="N8" i="11" s="1"/>
  <c r="F5" i="7"/>
  <c r="G4" i="7"/>
  <c r="F4" i="7"/>
  <c r="G3" i="7"/>
  <c r="F3" i="7"/>
  <c r="G2" i="7"/>
  <c r="L5" i="11" s="1"/>
  <c r="N5" i="11" s="1"/>
  <c r="F2" i="7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W264" i="5"/>
  <c r="T264" i="5"/>
  <c r="Q264" i="5"/>
  <c r="O264" i="5"/>
  <c r="N264" i="5"/>
  <c r="M264" i="5"/>
  <c r="P264" i="5" s="1"/>
  <c r="K264" i="5"/>
  <c r="J264" i="5"/>
  <c r="I264" i="5"/>
  <c r="H264" i="5"/>
  <c r="F264" i="5"/>
  <c r="E264" i="5"/>
  <c r="D264" i="5"/>
  <c r="C264" i="5"/>
  <c r="T263" i="5"/>
  <c r="W263" i="5" s="1"/>
  <c r="Q263" i="5"/>
  <c r="O263" i="5"/>
  <c r="M263" i="5"/>
  <c r="K263" i="5"/>
  <c r="J263" i="5"/>
  <c r="I263" i="5"/>
  <c r="H263" i="5"/>
  <c r="F263" i="5"/>
  <c r="E263" i="5"/>
  <c r="D263" i="5"/>
  <c r="C263" i="5"/>
  <c r="T262" i="5"/>
  <c r="W262" i="5" s="1"/>
  <c r="Q262" i="5"/>
  <c r="O262" i="5"/>
  <c r="M262" i="5"/>
  <c r="P262" i="5" s="1"/>
  <c r="K262" i="5"/>
  <c r="J262" i="5"/>
  <c r="I262" i="5"/>
  <c r="H262" i="5"/>
  <c r="F262" i="5"/>
  <c r="E262" i="5"/>
  <c r="D262" i="5"/>
  <c r="C262" i="5"/>
  <c r="T261" i="5"/>
  <c r="W261" i="5" s="1"/>
  <c r="Q261" i="5"/>
  <c r="P261" i="5"/>
  <c r="O261" i="5"/>
  <c r="N261" i="5"/>
  <c r="M261" i="5"/>
  <c r="K261" i="5"/>
  <c r="J261" i="5"/>
  <c r="I261" i="5"/>
  <c r="H261" i="5"/>
  <c r="F261" i="5"/>
  <c r="E261" i="5"/>
  <c r="D261" i="5"/>
  <c r="C261" i="5"/>
  <c r="T260" i="5"/>
  <c r="W260" i="5" s="1"/>
  <c r="Q260" i="5"/>
  <c r="O260" i="5"/>
  <c r="M260" i="5"/>
  <c r="P260" i="5" s="1"/>
  <c r="K260" i="5"/>
  <c r="J260" i="5"/>
  <c r="I260" i="5"/>
  <c r="H260" i="5"/>
  <c r="F260" i="5"/>
  <c r="E260" i="5"/>
  <c r="D260" i="5"/>
  <c r="C260" i="5"/>
  <c r="W259" i="5"/>
  <c r="T259" i="5"/>
  <c r="Q259" i="5"/>
  <c r="N259" i="5"/>
  <c r="M259" i="5"/>
  <c r="K259" i="5"/>
  <c r="O259" i="5" s="1"/>
  <c r="P259" i="5" s="1"/>
  <c r="J259" i="5"/>
  <c r="I259" i="5"/>
  <c r="H259" i="5"/>
  <c r="F259" i="5"/>
  <c r="E259" i="5"/>
  <c r="D259" i="5"/>
  <c r="C259" i="5"/>
  <c r="W258" i="5"/>
  <c r="T258" i="5"/>
  <c r="O258" i="5"/>
  <c r="K258" i="5"/>
  <c r="J258" i="5"/>
  <c r="Q258" i="5" s="1"/>
  <c r="I258" i="5"/>
  <c r="H258" i="5"/>
  <c r="F258" i="5"/>
  <c r="E258" i="5"/>
  <c r="D258" i="5"/>
  <c r="C258" i="5"/>
  <c r="W257" i="5"/>
  <c r="T257" i="5"/>
  <c r="Q257" i="5"/>
  <c r="N257" i="5"/>
  <c r="M257" i="5"/>
  <c r="K257" i="5"/>
  <c r="O257" i="5" s="1"/>
  <c r="P257" i="5" s="1"/>
  <c r="J257" i="5"/>
  <c r="I257" i="5"/>
  <c r="H257" i="5"/>
  <c r="F257" i="5"/>
  <c r="E257" i="5"/>
  <c r="D257" i="5"/>
  <c r="C257" i="5"/>
  <c r="T256" i="5"/>
  <c r="W256" i="5" s="1"/>
  <c r="M256" i="5"/>
  <c r="K256" i="5"/>
  <c r="O256" i="5" s="1"/>
  <c r="J256" i="5"/>
  <c r="Q256" i="5" s="1"/>
  <c r="I256" i="5"/>
  <c r="H256" i="5"/>
  <c r="F256" i="5"/>
  <c r="E256" i="5"/>
  <c r="D256" i="5"/>
  <c r="C256" i="5"/>
  <c r="T255" i="5"/>
  <c r="W255" i="5" s="1"/>
  <c r="O255" i="5"/>
  <c r="K255" i="5"/>
  <c r="J255" i="5"/>
  <c r="Q255" i="5" s="1"/>
  <c r="I255" i="5"/>
  <c r="H255" i="5"/>
  <c r="F255" i="5"/>
  <c r="E255" i="5"/>
  <c r="D255" i="5"/>
  <c r="C255" i="5"/>
  <c r="T254" i="5"/>
  <c r="W254" i="5" s="1"/>
  <c r="Q254" i="5"/>
  <c r="O254" i="5"/>
  <c r="M254" i="5"/>
  <c r="P254" i="5" s="1"/>
  <c r="K254" i="5"/>
  <c r="J254" i="5"/>
  <c r="I254" i="5"/>
  <c r="H254" i="5"/>
  <c r="F254" i="5"/>
  <c r="E254" i="5"/>
  <c r="D254" i="5"/>
  <c r="C254" i="5"/>
  <c r="T253" i="5"/>
  <c r="W253" i="5" s="1"/>
  <c r="Q253" i="5"/>
  <c r="P253" i="5"/>
  <c r="O253" i="5"/>
  <c r="N253" i="5"/>
  <c r="M253" i="5"/>
  <c r="K253" i="5"/>
  <c r="J253" i="5"/>
  <c r="I253" i="5"/>
  <c r="H253" i="5"/>
  <c r="F253" i="5"/>
  <c r="E253" i="5"/>
  <c r="D253" i="5"/>
  <c r="C253" i="5"/>
  <c r="T252" i="5"/>
  <c r="W252" i="5" s="1"/>
  <c r="Q252" i="5"/>
  <c r="P252" i="5"/>
  <c r="O252" i="5"/>
  <c r="M252" i="5"/>
  <c r="N252" i="5" s="1"/>
  <c r="K252" i="5"/>
  <c r="J252" i="5"/>
  <c r="I252" i="5"/>
  <c r="H252" i="5"/>
  <c r="F252" i="5"/>
  <c r="E252" i="5"/>
  <c r="D252" i="5"/>
  <c r="C252" i="5"/>
  <c r="W251" i="5"/>
  <c r="T251" i="5"/>
  <c r="Q251" i="5"/>
  <c r="P251" i="5"/>
  <c r="O251" i="5"/>
  <c r="N251" i="5"/>
  <c r="M251" i="5"/>
  <c r="K251" i="5"/>
  <c r="J251" i="5"/>
  <c r="I251" i="5"/>
  <c r="H251" i="5"/>
  <c r="F251" i="5"/>
  <c r="E251" i="5"/>
  <c r="D251" i="5"/>
  <c r="C251" i="5"/>
  <c r="W250" i="5"/>
  <c r="T250" i="5"/>
  <c r="Q250" i="5"/>
  <c r="O250" i="5"/>
  <c r="P250" i="5" s="1"/>
  <c r="N250" i="5"/>
  <c r="M250" i="5"/>
  <c r="K250" i="5"/>
  <c r="J250" i="5"/>
  <c r="I250" i="5"/>
  <c r="H250" i="5"/>
  <c r="F250" i="5"/>
  <c r="E250" i="5"/>
  <c r="D250" i="5"/>
  <c r="C250" i="5"/>
  <c r="T249" i="5"/>
  <c r="W249" i="5" s="1"/>
  <c r="Q249" i="5"/>
  <c r="O249" i="5"/>
  <c r="N249" i="5"/>
  <c r="M249" i="5"/>
  <c r="K249" i="5"/>
  <c r="J249" i="5"/>
  <c r="I249" i="5"/>
  <c r="H249" i="5"/>
  <c r="F249" i="5"/>
  <c r="E249" i="5"/>
  <c r="D249" i="5"/>
  <c r="C249" i="5"/>
  <c r="T248" i="5"/>
  <c r="W248" i="5" s="1"/>
  <c r="Q248" i="5"/>
  <c r="O248" i="5"/>
  <c r="N248" i="5"/>
  <c r="M248" i="5"/>
  <c r="P248" i="5" s="1"/>
  <c r="K248" i="5"/>
  <c r="J248" i="5"/>
  <c r="I248" i="5"/>
  <c r="H248" i="5"/>
  <c r="F248" i="5"/>
  <c r="E248" i="5"/>
  <c r="D248" i="5"/>
  <c r="C248" i="5"/>
  <c r="T247" i="5"/>
  <c r="W247" i="5" s="1"/>
  <c r="Q247" i="5"/>
  <c r="M247" i="5"/>
  <c r="K247" i="5"/>
  <c r="O247" i="5" s="1"/>
  <c r="J247" i="5"/>
  <c r="I247" i="5"/>
  <c r="H247" i="5"/>
  <c r="F247" i="5"/>
  <c r="E247" i="5"/>
  <c r="D247" i="5"/>
  <c r="C247" i="5"/>
  <c r="T246" i="5"/>
  <c r="W246" i="5" s="1"/>
  <c r="O246" i="5"/>
  <c r="K246" i="5"/>
  <c r="J246" i="5"/>
  <c r="I246" i="5"/>
  <c r="H246" i="5"/>
  <c r="F246" i="5"/>
  <c r="E246" i="5"/>
  <c r="D246" i="5"/>
  <c r="C246" i="5"/>
  <c r="T245" i="5"/>
  <c r="W245" i="5" s="1"/>
  <c r="Q245" i="5"/>
  <c r="P245" i="5"/>
  <c r="O245" i="5"/>
  <c r="N245" i="5"/>
  <c r="M245" i="5"/>
  <c r="K245" i="5"/>
  <c r="J245" i="5"/>
  <c r="I245" i="5"/>
  <c r="H245" i="5"/>
  <c r="F245" i="5"/>
  <c r="E245" i="5"/>
  <c r="D245" i="5"/>
  <c r="C245" i="5"/>
  <c r="T244" i="5"/>
  <c r="W244" i="5" s="1"/>
  <c r="Q244" i="5"/>
  <c r="O244" i="5"/>
  <c r="M244" i="5"/>
  <c r="P244" i="5" s="1"/>
  <c r="K244" i="5"/>
  <c r="J244" i="5"/>
  <c r="I244" i="5"/>
  <c r="H244" i="5"/>
  <c r="F244" i="5"/>
  <c r="E244" i="5"/>
  <c r="D244" i="5"/>
  <c r="C244" i="5"/>
  <c r="T243" i="5"/>
  <c r="W243" i="5" s="1"/>
  <c r="K243" i="5"/>
  <c r="O243" i="5" s="1"/>
  <c r="J243" i="5"/>
  <c r="Q243" i="5" s="1"/>
  <c r="I243" i="5"/>
  <c r="H243" i="5"/>
  <c r="F243" i="5"/>
  <c r="E243" i="5"/>
  <c r="D243" i="5"/>
  <c r="C243" i="5"/>
  <c r="T242" i="5"/>
  <c r="W242" i="5" s="1"/>
  <c r="O242" i="5"/>
  <c r="M242" i="5"/>
  <c r="P242" i="5" s="1"/>
  <c r="K242" i="5"/>
  <c r="J242" i="5"/>
  <c r="Q242" i="5" s="1"/>
  <c r="I242" i="5"/>
  <c r="H242" i="5"/>
  <c r="F242" i="5"/>
  <c r="E242" i="5"/>
  <c r="D242" i="5"/>
  <c r="C242" i="5"/>
  <c r="T241" i="5"/>
  <c r="W241" i="5" s="1"/>
  <c r="N241" i="5"/>
  <c r="M241" i="5"/>
  <c r="K241" i="5"/>
  <c r="O241" i="5" s="1"/>
  <c r="P241" i="5" s="1"/>
  <c r="J241" i="5"/>
  <c r="Q241" i="5" s="1"/>
  <c r="I241" i="5"/>
  <c r="H241" i="5"/>
  <c r="F241" i="5"/>
  <c r="E241" i="5"/>
  <c r="D241" i="5"/>
  <c r="C241" i="5"/>
  <c r="W240" i="5"/>
  <c r="T240" i="5"/>
  <c r="K240" i="5"/>
  <c r="O240" i="5" s="1"/>
  <c r="J240" i="5"/>
  <c r="Q240" i="5" s="1"/>
  <c r="I240" i="5"/>
  <c r="H240" i="5"/>
  <c r="F240" i="5"/>
  <c r="E240" i="5"/>
  <c r="D240" i="5"/>
  <c r="C240" i="5"/>
  <c r="W239" i="5"/>
  <c r="T239" i="5"/>
  <c r="K239" i="5"/>
  <c r="O239" i="5" s="1"/>
  <c r="J239" i="5"/>
  <c r="Q239" i="5" s="1"/>
  <c r="I239" i="5"/>
  <c r="H239" i="5"/>
  <c r="F239" i="5"/>
  <c r="E239" i="5"/>
  <c r="D239" i="5"/>
  <c r="C239" i="5"/>
  <c r="W238" i="5"/>
  <c r="T238" i="5"/>
  <c r="O238" i="5"/>
  <c r="K238" i="5"/>
  <c r="J238" i="5"/>
  <c r="Q238" i="5" s="1"/>
  <c r="I238" i="5"/>
  <c r="H238" i="5"/>
  <c r="F238" i="5"/>
  <c r="E238" i="5"/>
  <c r="D238" i="5"/>
  <c r="C238" i="5"/>
  <c r="T237" i="5"/>
  <c r="W237" i="5" s="1"/>
  <c r="Q237" i="5"/>
  <c r="N237" i="5"/>
  <c r="M237" i="5"/>
  <c r="K237" i="5"/>
  <c r="O237" i="5" s="1"/>
  <c r="P237" i="5" s="1"/>
  <c r="J237" i="5"/>
  <c r="I237" i="5"/>
  <c r="H237" i="5"/>
  <c r="F237" i="5"/>
  <c r="E237" i="5"/>
  <c r="D237" i="5"/>
  <c r="C237" i="5"/>
  <c r="T236" i="5"/>
  <c r="W236" i="5" s="1"/>
  <c r="Q236" i="5"/>
  <c r="P236" i="5"/>
  <c r="O236" i="5"/>
  <c r="M236" i="5"/>
  <c r="N236" i="5" s="1"/>
  <c r="K236" i="5"/>
  <c r="J236" i="5"/>
  <c r="I236" i="5"/>
  <c r="H236" i="5"/>
  <c r="F236" i="5"/>
  <c r="E236" i="5"/>
  <c r="D236" i="5"/>
  <c r="C236" i="5"/>
  <c r="T235" i="5"/>
  <c r="W235" i="5" s="1"/>
  <c r="Q235" i="5"/>
  <c r="P235" i="5"/>
  <c r="O235" i="5"/>
  <c r="N235" i="5"/>
  <c r="M235" i="5"/>
  <c r="K235" i="5"/>
  <c r="J235" i="5"/>
  <c r="I235" i="5"/>
  <c r="H235" i="5"/>
  <c r="F235" i="5"/>
  <c r="E235" i="5"/>
  <c r="D235" i="5"/>
  <c r="C235" i="5"/>
  <c r="T234" i="5"/>
  <c r="W234" i="5" s="1"/>
  <c r="Q234" i="5"/>
  <c r="O234" i="5"/>
  <c r="P234" i="5" s="1"/>
  <c r="N234" i="5"/>
  <c r="M234" i="5"/>
  <c r="K234" i="5"/>
  <c r="J234" i="5"/>
  <c r="I234" i="5"/>
  <c r="H234" i="5"/>
  <c r="F234" i="5"/>
  <c r="E234" i="5"/>
  <c r="D234" i="5"/>
  <c r="C234" i="5"/>
  <c r="T233" i="5"/>
  <c r="W233" i="5" s="1"/>
  <c r="Q233" i="5"/>
  <c r="O233" i="5"/>
  <c r="M233" i="5"/>
  <c r="P233" i="5" s="1"/>
  <c r="K233" i="5"/>
  <c r="J233" i="5"/>
  <c r="I233" i="5"/>
  <c r="H233" i="5"/>
  <c r="F233" i="5"/>
  <c r="E233" i="5"/>
  <c r="D233" i="5"/>
  <c r="C233" i="5"/>
  <c r="T232" i="5"/>
  <c r="W232" i="5" s="1"/>
  <c r="Q232" i="5"/>
  <c r="O232" i="5"/>
  <c r="M232" i="5"/>
  <c r="P232" i="5" s="1"/>
  <c r="K232" i="5"/>
  <c r="J232" i="5"/>
  <c r="I232" i="5"/>
  <c r="H232" i="5"/>
  <c r="F232" i="5"/>
  <c r="E232" i="5"/>
  <c r="D232" i="5"/>
  <c r="C232" i="5"/>
  <c r="T231" i="5"/>
  <c r="W231" i="5" s="1"/>
  <c r="Q231" i="5"/>
  <c r="M231" i="5"/>
  <c r="K231" i="5"/>
  <c r="O231" i="5" s="1"/>
  <c r="J231" i="5"/>
  <c r="I231" i="5"/>
  <c r="H231" i="5"/>
  <c r="F231" i="5"/>
  <c r="E231" i="5"/>
  <c r="D231" i="5"/>
  <c r="C231" i="5"/>
  <c r="W230" i="5"/>
  <c r="T230" i="5"/>
  <c r="O230" i="5"/>
  <c r="K230" i="5"/>
  <c r="J230" i="5"/>
  <c r="I230" i="5"/>
  <c r="H230" i="5"/>
  <c r="F230" i="5"/>
  <c r="E230" i="5"/>
  <c r="D230" i="5"/>
  <c r="C230" i="5"/>
  <c r="W229" i="5"/>
  <c r="T229" i="5"/>
  <c r="Q229" i="5"/>
  <c r="P229" i="5"/>
  <c r="O229" i="5"/>
  <c r="N229" i="5"/>
  <c r="M229" i="5"/>
  <c r="K229" i="5"/>
  <c r="J229" i="5"/>
  <c r="I229" i="5"/>
  <c r="H229" i="5"/>
  <c r="F229" i="5"/>
  <c r="E229" i="5"/>
  <c r="D229" i="5"/>
  <c r="C229" i="5"/>
  <c r="T228" i="5"/>
  <c r="W228" i="5" s="1"/>
  <c r="Q228" i="5"/>
  <c r="O228" i="5"/>
  <c r="P228" i="5" s="1"/>
  <c r="M228" i="5"/>
  <c r="N228" i="5" s="1"/>
  <c r="K228" i="5"/>
  <c r="J228" i="5"/>
  <c r="I228" i="5"/>
  <c r="H228" i="5"/>
  <c r="F228" i="5"/>
  <c r="E228" i="5"/>
  <c r="D228" i="5"/>
  <c r="C228" i="5"/>
  <c r="T227" i="5"/>
  <c r="W227" i="5" s="1"/>
  <c r="O227" i="5"/>
  <c r="K227" i="5"/>
  <c r="J227" i="5"/>
  <c r="Q227" i="5" s="1"/>
  <c r="I227" i="5"/>
  <c r="H227" i="5"/>
  <c r="F227" i="5"/>
  <c r="E227" i="5"/>
  <c r="D227" i="5"/>
  <c r="C227" i="5"/>
  <c r="W226" i="5"/>
  <c r="T226" i="5"/>
  <c r="Q226" i="5"/>
  <c r="O226" i="5"/>
  <c r="M226" i="5"/>
  <c r="P226" i="5" s="1"/>
  <c r="K226" i="5"/>
  <c r="J226" i="5"/>
  <c r="I226" i="5"/>
  <c r="H226" i="5"/>
  <c r="F226" i="5"/>
  <c r="E226" i="5"/>
  <c r="D226" i="5"/>
  <c r="C226" i="5"/>
  <c r="T225" i="5"/>
  <c r="W225" i="5" s="1"/>
  <c r="N225" i="5"/>
  <c r="M225" i="5"/>
  <c r="K225" i="5"/>
  <c r="O225" i="5" s="1"/>
  <c r="P225" i="5" s="1"/>
  <c r="J225" i="5"/>
  <c r="Q225" i="5" s="1"/>
  <c r="I225" i="5"/>
  <c r="H225" i="5"/>
  <c r="F225" i="5"/>
  <c r="E225" i="5"/>
  <c r="D225" i="5"/>
  <c r="C225" i="5"/>
  <c r="T224" i="5"/>
  <c r="W224" i="5" s="1"/>
  <c r="O224" i="5"/>
  <c r="K224" i="5"/>
  <c r="J224" i="5"/>
  <c r="Q224" i="5" s="1"/>
  <c r="I224" i="5"/>
  <c r="H224" i="5"/>
  <c r="F224" i="5"/>
  <c r="E224" i="5"/>
  <c r="D224" i="5"/>
  <c r="C224" i="5"/>
  <c r="T223" i="5"/>
  <c r="W223" i="5" s="1"/>
  <c r="K223" i="5"/>
  <c r="O223" i="5" s="1"/>
  <c r="J223" i="5"/>
  <c r="Q223" i="5" s="1"/>
  <c r="I223" i="5"/>
  <c r="H223" i="5"/>
  <c r="F223" i="5"/>
  <c r="E223" i="5"/>
  <c r="D223" i="5"/>
  <c r="C223" i="5"/>
  <c r="T222" i="5"/>
  <c r="W222" i="5" s="1"/>
  <c r="O222" i="5"/>
  <c r="K222" i="5"/>
  <c r="J222" i="5"/>
  <c r="Q222" i="5" s="1"/>
  <c r="I222" i="5"/>
  <c r="H222" i="5"/>
  <c r="F222" i="5"/>
  <c r="E222" i="5"/>
  <c r="D222" i="5"/>
  <c r="C222" i="5"/>
  <c r="W221" i="5"/>
  <c r="T221" i="5"/>
  <c r="Q221" i="5"/>
  <c r="N221" i="5"/>
  <c r="M221" i="5"/>
  <c r="K221" i="5"/>
  <c r="O221" i="5" s="1"/>
  <c r="P221" i="5" s="1"/>
  <c r="J221" i="5"/>
  <c r="I221" i="5"/>
  <c r="H221" i="5"/>
  <c r="F221" i="5"/>
  <c r="E221" i="5"/>
  <c r="D221" i="5"/>
  <c r="C221" i="5"/>
  <c r="T220" i="5"/>
  <c r="W220" i="5" s="1"/>
  <c r="Q220" i="5"/>
  <c r="P220" i="5"/>
  <c r="O220" i="5"/>
  <c r="K220" i="5"/>
  <c r="J220" i="5"/>
  <c r="M220" i="5" s="1"/>
  <c r="N220" i="5" s="1"/>
  <c r="I220" i="5"/>
  <c r="H220" i="5"/>
  <c r="F220" i="5"/>
  <c r="E220" i="5"/>
  <c r="D220" i="5"/>
  <c r="C220" i="5"/>
  <c r="W219" i="5"/>
  <c r="T219" i="5"/>
  <c r="Q219" i="5"/>
  <c r="P219" i="5"/>
  <c r="O219" i="5"/>
  <c r="N219" i="5"/>
  <c r="M219" i="5"/>
  <c r="K219" i="5"/>
  <c r="J219" i="5"/>
  <c r="I219" i="5"/>
  <c r="H219" i="5"/>
  <c r="F219" i="5"/>
  <c r="E219" i="5"/>
  <c r="D219" i="5"/>
  <c r="C219" i="5"/>
  <c r="T218" i="5"/>
  <c r="W218" i="5" s="1"/>
  <c r="Q218" i="5"/>
  <c r="O218" i="5"/>
  <c r="P218" i="5" s="1"/>
  <c r="N218" i="5"/>
  <c r="M218" i="5"/>
  <c r="K218" i="5"/>
  <c r="J218" i="5"/>
  <c r="I218" i="5"/>
  <c r="H218" i="5"/>
  <c r="F218" i="5"/>
  <c r="E218" i="5"/>
  <c r="D218" i="5"/>
  <c r="C218" i="5"/>
  <c r="T217" i="5"/>
  <c r="W217" i="5" s="1"/>
  <c r="Q217" i="5"/>
  <c r="O217" i="5"/>
  <c r="P217" i="5" s="1"/>
  <c r="N217" i="5"/>
  <c r="M217" i="5"/>
  <c r="K217" i="5"/>
  <c r="J217" i="5"/>
  <c r="I217" i="5"/>
  <c r="H217" i="5"/>
  <c r="F217" i="5"/>
  <c r="E217" i="5"/>
  <c r="D217" i="5"/>
  <c r="C217" i="5"/>
  <c r="T216" i="5"/>
  <c r="W216" i="5" s="1"/>
  <c r="Q216" i="5"/>
  <c r="O216" i="5"/>
  <c r="M216" i="5"/>
  <c r="P216" i="5" s="1"/>
  <c r="K216" i="5"/>
  <c r="J216" i="5"/>
  <c r="I216" i="5"/>
  <c r="H216" i="5"/>
  <c r="F216" i="5"/>
  <c r="E216" i="5"/>
  <c r="D216" i="5"/>
  <c r="C216" i="5"/>
  <c r="T215" i="5"/>
  <c r="W215" i="5" s="1"/>
  <c r="Q215" i="5"/>
  <c r="M215" i="5"/>
  <c r="K215" i="5"/>
  <c r="O215" i="5" s="1"/>
  <c r="J215" i="5"/>
  <c r="I215" i="5"/>
  <c r="H215" i="5"/>
  <c r="F215" i="5"/>
  <c r="E215" i="5"/>
  <c r="D215" i="5"/>
  <c r="C215" i="5"/>
  <c r="T214" i="5"/>
  <c r="W214" i="5" s="1"/>
  <c r="O214" i="5"/>
  <c r="K214" i="5"/>
  <c r="J214" i="5"/>
  <c r="I214" i="5"/>
  <c r="H214" i="5"/>
  <c r="F214" i="5"/>
  <c r="E214" i="5"/>
  <c r="D214" i="5"/>
  <c r="C214" i="5"/>
  <c r="T213" i="5"/>
  <c r="W213" i="5" s="1"/>
  <c r="Q213" i="5"/>
  <c r="N213" i="5"/>
  <c r="M213" i="5"/>
  <c r="K213" i="5"/>
  <c r="O213" i="5" s="1"/>
  <c r="P213" i="5" s="1"/>
  <c r="J213" i="5"/>
  <c r="I213" i="5"/>
  <c r="H213" i="5"/>
  <c r="F213" i="5"/>
  <c r="E213" i="5"/>
  <c r="D213" i="5"/>
  <c r="C213" i="5"/>
  <c r="W212" i="5"/>
  <c r="T212" i="5"/>
  <c r="Q212" i="5"/>
  <c r="O212" i="5"/>
  <c r="M212" i="5"/>
  <c r="P212" i="5" s="1"/>
  <c r="K212" i="5"/>
  <c r="J212" i="5"/>
  <c r="I212" i="5"/>
  <c r="H212" i="5"/>
  <c r="F212" i="5"/>
  <c r="E212" i="5"/>
  <c r="D212" i="5"/>
  <c r="C212" i="5"/>
  <c r="T211" i="5"/>
  <c r="W211" i="5" s="1"/>
  <c r="K211" i="5"/>
  <c r="O211" i="5" s="1"/>
  <c r="J211" i="5"/>
  <c r="Q211" i="5" s="1"/>
  <c r="I211" i="5"/>
  <c r="H211" i="5"/>
  <c r="F211" i="5"/>
  <c r="E211" i="5"/>
  <c r="D211" i="5"/>
  <c r="C211" i="5"/>
  <c r="T210" i="5"/>
  <c r="W210" i="5" s="1"/>
  <c r="Q210" i="5"/>
  <c r="O210" i="5"/>
  <c r="M210" i="5"/>
  <c r="P210" i="5" s="1"/>
  <c r="K210" i="5"/>
  <c r="J210" i="5"/>
  <c r="I210" i="5"/>
  <c r="H210" i="5"/>
  <c r="F210" i="5"/>
  <c r="E210" i="5"/>
  <c r="D210" i="5"/>
  <c r="C210" i="5"/>
  <c r="T209" i="5"/>
  <c r="W209" i="5" s="1"/>
  <c r="N209" i="5"/>
  <c r="M209" i="5"/>
  <c r="K209" i="5"/>
  <c r="O209" i="5" s="1"/>
  <c r="P209" i="5" s="1"/>
  <c r="J209" i="5"/>
  <c r="Q209" i="5" s="1"/>
  <c r="I209" i="5"/>
  <c r="H209" i="5"/>
  <c r="F209" i="5"/>
  <c r="E209" i="5"/>
  <c r="D209" i="5"/>
  <c r="C209" i="5"/>
  <c r="W208" i="5"/>
  <c r="T208" i="5"/>
  <c r="O208" i="5"/>
  <c r="K208" i="5"/>
  <c r="J208" i="5"/>
  <c r="Q208" i="5" s="1"/>
  <c r="I208" i="5"/>
  <c r="H208" i="5"/>
  <c r="F208" i="5"/>
  <c r="E208" i="5"/>
  <c r="D208" i="5"/>
  <c r="C208" i="5"/>
  <c r="T207" i="5"/>
  <c r="W207" i="5" s="1"/>
  <c r="K207" i="5"/>
  <c r="O207" i="5" s="1"/>
  <c r="J207" i="5"/>
  <c r="Q207" i="5" s="1"/>
  <c r="I207" i="5"/>
  <c r="H207" i="5"/>
  <c r="F207" i="5"/>
  <c r="E207" i="5"/>
  <c r="D207" i="5"/>
  <c r="C207" i="5"/>
  <c r="T206" i="5"/>
  <c r="W206" i="5" s="1"/>
  <c r="O206" i="5"/>
  <c r="K206" i="5"/>
  <c r="J206" i="5"/>
  <c r="Q206" i="5" s="1"/>
  <c r="I206" i="5"/>
  <c r="H206" i="5"/>
  <c r="F206" i="5"/>
  <c r="E206" i="5"/>
  <c r="D206" i="5"/>
  <c r="C206" i="5"/>
  <c r="T205" i="5"/>
  <c r="W205" i="5" s="1"/>
  <c r="Q205" i="5"/>
  <c r="N205" i="5"/>
  <c r="M205" i="5"/>
  <c r="K205" i="5"/>
  <c r="O205" i="5" s="1"/>
  <c r="P205" i="5" s="1"/>
  <c r="J205" i="5"/>
  <c r="I205" i="5"/>
  <c r="H205" i="5"/>
  <c r="F205" i="5"/>
  <c r="E205" i="5"/>
  <c r="D205" i="5"/>
  <c r="C205" i="5"/>
  <c r="T204" i="5"/>
  <c r="W204" i="5" s="1"/>
  <c r="Q204" i="5"/>
  <c r="P204" i="5"/>
  <c r="O204" i="5"/>
  <c r="K204" i="5"/>
  <c r="J204" i="5"/>
  <c r="M204" i="5" s="1"/>
  <c r="N204" i="5" s="1"/>
  <c r="I204" i="5"/>
  <c r="H204" i="5"/>
  <c r="F204" i="5"/>
  <c r="E204" i="5"/>
  <c r="D204" i="5"/>
  <c r="C204" i="5"/>
  <c r="T203" i="5"/>
  <c r="W203" i="5" s="1"/>
  <c r="Q203" i="5"/>
  <c r="O203" i="5"/>
  <c r="P203" i="5" s="1"/>
  <c r="K203" i="5"/>
  <c r="J203" i="5"/>
  <c r="M203" i="5" s="1"/>
  <c r="N203" i="5" s="1"/>
  <c r="I203" i="5"/>
  <c r="H203" i="5"/>
  <c r="F203" i="5"/>
  <c r="E203" i="5"/>
  <c r="D203" i="5"/>
  <c r="C203" i="5"/>
  <c r="W202" i="5"/>
  <c r="T202" i="5"/>
  <c r="Q202" i="5"/>
  <c r="O202" i="5"/>
  <c r="P202" i="5" s="1"/>
  <c r="N202" i="5"/>
  <c r="M202" i="5"/>
  <c r="K202" i="5"/>
  <c r="J202" i="5"/>
  <c r="I202" i="5"/>
  <c r="H202" i="5"/>
  <c r="F202" i="5"/>
  <c r="E202" i="5"/>
  <c r="D202" i="5"/>
  <c r="C202" i="5"/>
  <c r="T201" i="5"/>
  <c r="W201" i="5" s="1"/>
  <c r="Q201" i="5"/>
  <c r="O201" i="5"/>
  <c r="M201" i="5"/>
  <c r="P201" i="5" s="1"/>
  <c r="K201" i="5"/>
  <c r="J201" i="5"/>
  <c r="I201" i="5"/>
  <c r="H201" i="5"/>
  <c r="F201" i="5"/>
  <c r="E201" i="5"/>
  <c r="D201" i="5"/>
  <c r="C201" i="5"/>
  <c r="T200" i="5"/>
  <c r="W200" i="5" s="1"/>
  <c r="Q200" i="5"/>
  <c r="O200" i="5"/>
  <c r="N200" i="5"/>
  <c r="M200" i="5"/>
  <c r="P200" i="5" s="1"/>
  <c r="K200" i="5"/>
  <c r="J200" i="5"/>
  <c r="I200" i="5"/>
  <c r="H200" i="5"/>
  <c r="F200" i="5"/>
  <c r="E200" i="5"/>
  <c r="D200" i="5"/>
  <c r="C200" i="5"/>
  <c r="T199" i="5"/>
  <c r="W199" i="5" s="1"/>
  <c r="Q199" i="5"/>
  <c r="M199" i="5"/>
  <c r="K199" i="5"/>
  <c r="O199" i="5" s="1"/>
  <c r="J199" i="5"/>
  <c r="I199" i="5"/>
  <c r="H199" i="5"/>
  <c r="F199" i="5"/>
  <c r="E199" i="5"/>
  <c r="D199" i="5"/>
  <c r="C199" i="5"/>
  <c r="T198" i="5"/>
  <c r="W198" i="5" s="1"/>
  <c r="O198" i="5"/>
  <c r="K198" i="5"/>
  <c r="J198" i="5"/>
  <c r="I198" i="5"/>
  <c r="H198" i="5"/>
  <c r="F198" i="5"/>
  <c r="E198" i="5"/>
  <c r="D198" i="5"/>
  <c r="C198" i="5"/>
  <c r="T197" i="5"/>
  <c r="W197" i="5" s="1"/>
  <c r="Q197" i="5"/>
  <c r="N197" i="5"/>
  <c r="M197" i="5"/>
  <c r="K197" i="5"/>
  <c r="O197" i="5" s="1"/>
  <c r="P197" i="5" s="1"/>
  <c r="J197" i="5"/>
  <c r="I197" i="5"/>
  <c r="H197" i="5"/>
  <c r="F197" i="5"/>
  <c r="E197" i="5"/>
  <c r="D197" i="5"/>
  <c r="C197" i="5"/>
  <c r="T196" i="5"/>
  <c r="W196" i="5" s="1"/>
  <c r="Q196" i="5"/>
  <c r="O196" i="5"/>
  <c r="M196" i="5"/>
  <c r="P196" i="5" s="1"/>
  <c r="K196" i="5"/>
  <c r="J196" i="5"/>
  <c r="I196" i="5"/>
  <c r="H196" i="5"/>
  <c r="F196" i="5"/>
  <c r="E196" i="5"/>
  <c r="D196" i="5"/>
  <c r="C196" i="5"/>
  <c r="W195" i="5"/>
  <c r="T195" i="5"/>
  <c r="K195" i="5"/>
  <c r="O195" i="5" s="1"/>
  <c r="J195" i="5"/>
  <c r="Q195" i="5" s="1"/>
  <c r="I195" i="5"/>
  <c r="H195" i="5"/>
  <c r="F195" i="5"/>
  <c r="E195" i="5"/>
  <c r="D195" i="5"/>
  <c r="C195" i="5"/>
  <c r="T194" i="5"/>
  <c r="W194" i="5" s="1"/>
  <c r="Q194" i="5"/>
  <c r="O194" i="5"/>
  <c r="M194" i="5"/>
  <c r="P194" i="5" s="1"/>
  <c r="K194" i="5"/>
  <c r="J194" i="5"/>
  <c r="I194" i="5"/>
  <c r="H194" i="5"/>
  <c r="F194" i="5"/>
  <c r="E194" i="5"/>
  <c r="D194" i="5"/>
  <c r="C194" i="5"/>
  <c r="T193" i="5"/>
  <c r="W193" i="5" s="1"/>
  <c r="N193" i="5"/>
  <c r="M193" i="5"/>
  <c r="K193" i="5"/>
  <c r="O193" i="5" s="1"/>
  <c r="P193" i="5" s="1"/>
  <c r="J193" i="5"/>
  <c r="Q193" i="5" s="1"/>
  <c r="I193" i="5"/>
  <c r="H193" i="5"/>
  <c r="F193" i="5"/>
  <c r="E193" i="5"/>
  <c r="D193" i="5"/>
  <c r="C193" i="5"/>
  <c r="W192" i="5"/>
  <c r="T192" i="5"/>
  <c r="O192" i="5"/>
  <c r="K192" i="5"/>
  <c r="J192" i="5"/>
  <c r="Q192" i="5" s="1"/>
  <c r="I192" i="5"/>
  <c r="H192" i="5"/>
  <c r="F192" i="5"/>
  <c r="E192" i="5"/>
  <c r="D192" i="5"/>
  <c r="C192" i="5"/>
  <c r="T191" i="5"/>
  <c r="W191" i="5" s="1"/>
  <c r="K191" i="5"/>
  <c r="O191" i="5" s="1"/>
  <c r="J191" i="5"/>
  <c r="Q191" i="5" s="1"/>
  <c r="I191" i="5"/>
  <c r="H191" i="5"/>
  <c r="F191" i="5"/>
  <c r="E191" i="5"/>
  <c r="D191" i="5"/>
  <c r="C191" i="5"/>
  <c r="W190" i="5"/>
  <c r="T190" i="5"/>
  <c r="O190" i="5"/>
  <c r="K190" i="5"/>
  <c r="J190" i="5"/>
  <c r="Q190" i="5" s="1"/>
  <c r="I190" i="5"/>
  <c r="H190" i="5"/>
  <c r="F190" i="5"/>
  <c r="E190" i="5"/>
  <c r="D190" i="5"/>
  <c r="C190" i="5"/>
  <c r="T189" i="5"/>
  <c r="W189" i="5" s="1"/>
  <c r="Q189" i="5"/>
  <c r="N189" i="5"/>
  <c r="M189" i="5"/>
  <c r="K189" i="5"/>
  <c r="O189" i="5" s="1"/>
  <c r="P189" i="5" s="1"/>
  <c r="J189" i="5"/>
  <c r="I189" i="5"/>
  <c r="H189" i="5"/>
  <c r="F189" i="5"/>
  <c r="E189" i="5"/>
  <c r="D189" i="5"/>
  <c r="C189" i="5"/>
  <c r="T188" i="5"/>
  <c r="W188" i="5" s="1"/>
  <c r="Q188" i="5"/>
  <c r="P188" i="5"/>
  <c r="O188" i="5"/>
  <c r="K188" i="5"/>
  <c r="J188" i="5"/>
  <c r="M188" i="5" s="1"/>
  <c r="N188" i="5" s="1"/>
  <c r="I188" i="5"/>
  <c r="H188" i="5"/>
  <c r="F188" i="5"/>
  <c r="E188" i="5"/>
  <c r="D188" i="5"/>
  <c r="C188" i="5"/>
  <c r="T187" i="5"/>
  <c r="W187" i="5" s="1"/>
  <c r="Q187" i="5"/>
  <c r="O187" i="5"/>
  <c r="P187" i="5" s="1"/>
  <c r="K187" i="5"/>
  <c r="J187" i="5"/>
  <c r="M187" i="5" s="1"/>
  <c r="N187" i="5" s="1"/>
  <c r="I187" i="5"/>
  <c r="H187" i="5"/>
  <c r="F187" i="5"/>
  <c r="E187" i="5"/>
  <c r="D187" i="5"/>
  <c r="C187" i="5"/>
  <c r="T186" i="5"/>
  <c r="W186" i="5" s="1"/>
  <c r="Q186" i="5"/>
  <c r="O186" i="5"/>
  <c r="P186" i="5" s="1"/>
  <c r="N186" i="5"/>
  <c r="M186" i="5"/>
  <c r="K186" i="5"/>
  <c r="J186" i="5"/>
  <c r="I186" i="5"/>
  <c r="H186" i="5"/>
  <c r="F186" i="5"/>
  <c r="E186" i="5"/>
  <c r="D186" i="5"/>
  <c r="C186" i="5"/>
  <c r="W185" i="5"/>
  <c r="T185" i="5"/>
  <c r="Q185" i="5"/>
  <c r="O185" i="5"/>
  <c r="M185" i="5"/>
  <c r="P185" i="5" s="1"/>
  <c r="K185" i="5"/>
  <c r="J185" i="5"/>
  <c r="I185" i="5"/>
  <c r="H185" i="5"/>
  <c r="F185" i="5"/>
  <c r="E185" i="5"/>
  <c r="D185" i="5"/>
  <c r="C185" i="5"/>
  <c r="T184" i="5"/>
  <c r="W184" i="5" s="1"/>
  <c r="Q184" i="5"/>
  <c r="O184" i="5"/>
  <c r="M184" i="5"/>
  <c r="P184" i="5" s="1"/>
  <c r="K184" i="5"/>
  <c r="J184" i="5"/>
  <c r="I184" i="5"/>
  <c r="H184" i="5"/>
  <c r="F184" i="5"/>
  <c r="E184" i="5"/>
  <c r="D184" i="5"/>
  <c r="C184" i="5"/>
  <c r="T183" i="5"/>
  <c r="W183" i="5" s="1"/>
  <c r="Q183" i="5"/>
  <c r="M183" i="5"/>
  <c r="K183" i="5"/>
  <c r="O183" i="5" s="1"/>
  <c r="J183" i="5"/>
  <c r="I183" i="5"/>
  <c r="H183" i="5"/>
  <c r="F183" i="5"/>
  <c r="E183" i="5"/>
  <c r="D183" i="5"/>
  <c r="C183" i="5"/>
  <c r="W182" i="5"/>
  <c r="T182" i="5"/>
  <c r="O182" i="5"/>
  <c r="K182" i="5"/>
  <c r="J182" i="5"/>
  <c r="I182" i="5"/>
  <c r="H182" i="5"/>
  <c r="F182" i="5"/>
  <c r="E182" i="5"/>
  <c r="D182" i="5"/>
  <c r="C182" i="5"/>
  <c r="T181" i="5"/>
  <c r="W181" i="5" s="1"/>
  <c r="Q181" i="5"/>
  <c r="P181" i="5"/>
  <c r="O181" i="5"/>
  <c r="N181" i="5"/>
  <c r="M181" i="5"/>
  <c r="K181" i="5"/>
  <c r="J181" i="5"/>
  <c r="I181" i="5"/>
  <c r="H181" i="5"/>
  <c r="F181" i="5"/>
  <c r="E181" i="5"/>
  <c r="D181" i="5"/>
  <c r="C181" i="5"/>
  <c r="T180" i="5"/>
  <c r="W180" i="5" s="1"/>
  <c r="Q180" i="5"/>
  <c r="O180" i="5"/>
  <c r="M180" i="5"/>
  <c r="P180" i="5" s="1"/>
  <c r="K180" i="5"/>
  <c r="J180" i="5"/>
  <c r="I180" i="5"/>
  <c r="H180" i="5"/>
  <c r="F180" i="5"/>
  <c r="E180" i="5"/>
  <c r="D180" i="5"/>
  <c r="C180" i="5"/>
  <c r="T179" i="5"/>
  <c r="W179" i="5" s="1"/>
  <c r="N179" i="5"/>
  <c r="M179" i="5"/>
  <c r="K179" i="5"/>
  <c r="O179" i="5" s="1"/>
  <c r="P179" i="5" s="1"/>
  <c r="J179" i="5"/>
  <c r="Q179" i="5" s="1"/>
  <c r="I179" i="5"/>
  <c r="H179" i="5"/>
  <c r="F179" i="5"/>
  <c r="E179" i="5"/>
  <c r="D179" i="5"/>
  <c r="C179" i="5"/>
  <c r="T178" i="5"/>
  <c r="W178" i="5" s="1"/>
  <c r="Q178" i="5"/>
  <c r="O178" i="5"/>
  <c r="M178" i="5"/>
  <c r="P178" i="5" s="1"/>
  <c r="K178" i="5"/>
  <c r="J178" i="5"/>
  <c r="I178" i="5"/>
  <c r="H178" i="5"/>
  <c r="F178" i="5"/>
  <c r="E178" i="5"/>
  <c r="D178" i="5"/>
  <c r="C178" i="5"/>
  <c r="W177" i="5"/>
  <c r="T177" i="5"/>
  <c r="N177" i="5"/>
  <c r="M177" i="5"/>
  <c r="K177" i="5"/>
  <c r="O177" i="5" s="1"/>
  <c r="P177" i="5" s="1"/>
  <c r="J177" i="5"/>
  <c r="Q177" i="5" s="1"/>
  <c r="I177" i="5"/>
  <c r="H177" i="5"/>
  <c r="F177" i="5"/>
  <c r="E177" i="5"/>
  <c r="D177" i="5"/>
  <c r="C177" i="5"/>
  <c r="T176" i="5"/>
  <c r="W176" i="5" s="1"/>
  <c r="O176" i="5"/>
  <c r="K176" i="5"/>
  <c r="J176" i="5"/>
  <c r="Q176" i="5" s="1"/>
  <c r="I176" i="5"/>
  <c r="H176" i="5"/>
  <c r="F176" i="5"/>
  <c r="E176" i="5"/>
  <c r="D176" i="5"/>
  <c r="C176" i="5"/>
  <c r="W175" i="5"/>
  <c r="T175" i="5"/>
  <c r="K175" i="5"/>
  <c r="O175" i="5" s="1"/>
  <c r="J175" i="5"/>
  <c r="Q175" i="5" s="1"/>
  <c r="I175" i="5"/>
  <c r="H175" i="5"/>
  <c r="F175" i="5"/>
  <c r="E175" i="5"/>
  <c r="D175" i="5"/>
  <c r="C175" i="5"/>
  <c r="W174" i="5"/>
  <c r="T174" i="5"/>
  <c r="O174" i="5"/>
  <c r="K174" i="5"/>
  <c r="J174" i="5"/>
  <c r="Q174" i="5" s="1"/>
  <c r="I174" i="5"/>
  <c r="H174" i="5"/>
  <c r="F174" i="5"/>
  <c r="E174" i="5"/>
  <c r="D174" i="5"/>
  <c r="C174" i="5"/>
  <c r="T173" i="5"/>
  <c r="W173" i="5" s="1"/>
  <c r="Q173" i="5"/>
  <c r="N173" i="5"/>
  <c r="M173" i="5"/>
  <c r="K173" i="5"/>
  <c r="O173" i="5" s="1"/>
  <c r="P173" i="5" s="1"/>
  <c r="J173" i="5"/>
  <c r="I173" i="5"/>
  <c r="H173" i="5"/>
  <c r="F173" i="5"/>
  <c r="E173" i="5"/>
  <c r="D173" i="5"/>
  <c r="C173" i="5"/>
  <c r="T172" i="5"/>
  <c r="W172" i="5" s="1"/>
  <c r="Q172" i="5"/>
  <c r="P172" i="5"/>
  <c r="O172" i="5"/>
  <c r="K172" i="5"/>
  <c r="J172" i="5"/>
  <c r="M172" i="5" s="1"/>
  <c r="N172" i="5" s="1"/>
  <c r="I172" i="5"/>
  <c r="H172" i="5"/>
  <c r="F172" i="5"/>
  <c r="E172" i="5"/>
  <c r="D172" i="5"/>
  <c r="C172" i="5"/>
  <c r="T171" i="5"/>
  <c r="W171" i="5" s="1"/>
  <c r="Q171" i="5"/>
  <c r="O171" i="5"/>
  <c r="K171" i="5"/>
  <c r="J171" i="5"/>
  <c r="M171" i="5" s="1"/>
  <c r="N171" i="5" s="1"/>
  <c r="I171" i="5"/>
  <c r="H171" i="5"/>
  <c r="F171" i="5"/>
  <c r="E171" i="5"/>
  <c r="D171" i="5"/>
  <c r="C171" i="5"/>
  <c r="W170" i="5"/>
  <c r="T170" i="5"/>
  <c r="O170" i="5"/>
  <c r="P170" i="5" s="1"/>
  <c r="N170" i="5"/>
  <c r="M170" i="5"/>
  <c r="K170" i="5"/>
  <c r="J170" i="5"/>
  <c r="Q170" i="5" s="1"/>
  <c r="I170" i="5"/>
  <c r="H170" i="5"/>
  <c r="F170" i="5"/>
  <c r="E170" i="5"/>
  <c r="D170" i="5"/>
  <c r="C170" i="5"/>
  <c r="T169" i="5"/>
  <c r="W169" i="5" s="1"/>
  <c r="Q169" i="5"/>
  <c r="O169" i="5"/>
  <c r="M169" i="5"/>
  <c r="P169" i="5" s="1"/>
  <c r="K169" i="5"/>
  <c r="J169" i="5"/>
  <c r="I169" i="5"/>
  <c r="H169" i="5"/>
  <c r="F169" i="5"/>
  <c r="E169" i="5"/>
  <c r="D169" i="5"/>
  <c r="C169" i="5"/>
  <c r="T168" i="5"/>
  <c r="W168" i="5" s="1"/>
  <c r="Q168" i="5"/>
  <c r="M168" i="5"/>
  <c r="P168" i="5" s="1"/>
  <c r="K168" i="5"/>
  <c r="O168" i="5" s="1"/>
  <c r="J168" i="5"/>
  <c r="I168" i="5"/>
  <c r="H168" i="5"/>
  <c r="F168" i="5"/>
  <c r="E168" i="5"/>
  <c r="D168" i="5"/>
  <c r="C168" i="5"/>
  <c r="W167" i="5"/>
  <c r="T167" i="5"/>
  <c r="M167" i="5"/>
  <c r="K167" i="5"/>
  <c r="O167" i="5" s="1"/>
  <c r="J167" i="5"/>
  <c r="Q167" i="5" s="1"/>
  <c r="I167" i="5"/>
  <c r="H167" i="5"/>
  <c r="F167" i="5"/>
  <c r="E167" i="5"/>
  <c r="D167" i="5"/>
  <c r="C167" i="5"/>
  <c r="T166" i="5"/>
  <c r="W166" i="5" s="1"/>
  <c r="Q166" i="5"/>
  <c r="K166" i="5"/>
  <c r="O166" i="5" s="1"/>
  <c r="J166" i="5"/>
  <c r="M166" i="5" s="1"/>
  <c r="I166" i="5"/>
  <c r="H166" i="5"/>
  <c r="F166" i="5"/>
  <c r="E166" i="5"/>
  <c r="D166" i="5"/>
  <c r="C166" i="5"/>
  <c r="T165" i="5"/>
  <c r="W165" i="5" s="1"/>
  <c r="K165" i="5"/>
  <c r="O165" i="5" s="1"/>
  <c r="J165" i="5"/>
  <c r="I165" i="5"/>
  <c r="H165" i="5"/>
  <c r="F165" i="5"/>
  <c r="E165" i="5"/>
  <c r="D165" i="5"/>
  <c r="C165" i="5"/>
  <c r="T164" i="5"/>
  <c r="W164" i="5" s="1"/>
  <c r="Q164" i="5"/>
  <c r="O164" i="5"/>
  <c r="M164" i="5"/>
  <c r="K164" i="5"/>
  <c r="J164" i="5"/>
  <c r="I164" i="5"/>
  <c r="H164" i="5"/>
  <c r="F164" i="5"/>
  <c r="E164" i="5"/>
  <c r="D164" i="5"/>
  <c r="C164" i="5"/>
  <c r="T163" i="5"/>
  <c r="W163" i="5" s="1"/>
  <c r="N163" i="5"/>
  <c r="M163" i="5"/>
  <c r="K163" i="5"/>
  <c r="O163" i="5" s="1"/>
  <c r="P163" i="5" s="1"/>
  <c r="J163" i="5"/>
  <c r="Q163" i="5" s="1"/>
  <c r="I163" i="5"/>
  <c r="H163" i="5"/>
  <c r="F163" i="5"/>
  <c r="E163" i="5"/>
  <c r="D163" i="5"/>
  <c r="C163" i="5"/>
  <c r="T162" i="5"/>
  <c r="W162" i="5" s="1"/>
  <c r="Q162" i="5"/>
  <c r="O162" i="5"/>
  <c r="M162" i="5"/>
  <c r="K162" i="5"/>
  <c r="J162" i="5"/>
  <c r="I162" i="5"/>
  <c r="H162" i="5"/>
  <c r="F162" i="5"/>
  <c r="E162" i="5"/>
  <c r="D162" i="5"/>
  <c r="C162" i="5"/>
  <c r="T161" i="5"/>
  <c r="W161" i="5" s="1"/>
  <c r="N161" i="5"/>
  <c r="M161" i="5"/>
  <c r="K161" i="5"/>
  <c r="O161" i="5" s="1"/>
  <c r="P161" i="5" s="1"/>
  <c r="J161" i="5"/>
  <c r="Q161" i="5" s="1"/>
  <c r="I161" i="5"/>
  <c r="H161" i="5"/>
  <c r="F161" i="5"/>
  <c r="E161" i="5"/>
  <c r="D161" i="5"/>
  <c r="C161" i="5"/>
  <c r="T160" i="5"/>
  <c r="W160" i="5" s="1"/>
  <c r="O160" i="5"/>
  <c r="K160" i="5"/>
  <c r="J160" i="5"/>
  <c r="I160" i="5"/>
  <c r="H160" i="5"/>
  <c r="F160" i="5"/>
  <c r="E160" i="5"/>
  <c r="D160" i="5"/>
  <c r="C160" i="5"/>
  <c r="T159" i="5"/>
  <c r="W159" i="5" s="1"/>
  <c r="K159" i="5"/>
  <c r="O159" i="5" s="1"/>
  <c r="J159" i="5"/>
  <c r="Q159" i="5" s="1"/>
  <c r="I159" i="5"/>
  <c r="H159" i="5"/>
  <c r="F159" i="5"/>
  <c r="E159" i="5"/>
  <c r="D159" i="5"/>
  <c r="C159" i="5"/>
  <c r="W158" i="5"/>
  <c r="T158" i="5"/>
  <c r="O158" i="5"/>
  <c r="K158" i="5"/>
  <c r="J158" i="5"/>
  <c r="Q158" i="5" s="1"/>
  <c r="I158" i="5"/>
  <c r="H158" i="5"/>
  <c r="F158" i="5"/>
  <c r="E158" i="5"/>
  <c r="D158" i="5"/>
  <c r="C158" i="5"/>
  <c r="T157" i="5"/>
  <c r="W157" i="5" s="1"/>
  <c r="Q157" i="5"/>
  <c r="N157" i="5"/>
  <c r="M157" i="5"/>
  <c r="K157" i="5"/>
  <c r="O157" i="5" s="1"/>
  <c r="P157" i="5" s="1"/>
  <c r="J157" i="5"/>
  <c r="I157" i="5"/>
  <c r="H157" i="5"/>
  <c r="F157" i="5"/>
  <c r="E157" i="5"/>
  <c r="D157" i="5"/>
  <c r="C157" i="5"/>
  <c r="T156" i="5"/>
  <c r="W156" i="5" s="1"/>
  <c r="Q156" i="5"/>
  <c r="O156" i="5"/>
  <c r="K156" i="5"/>
  <c r="J156" i="5"/>
  <c r="M156" i="5" s="1"/>
  <c r="N156" i="5" s="1"/>
  <c r="I156" i="5"/>
  <c r="H156" i="5"/>
  <c r="F156" i="5"/>
  <c r="E156" i="5"/>
  <c r="D156" i="5"/>
  <c r="C156" i="5"/>
  <c r="T155" i="5"/>
  <c r="W155" i="5" s="1"/>
  <c r="Q155" i="5"/>
  <c r="P155" i="5"/>
  <c r="O155" i="5"/>
  <c r="K155" i="5"/>
  <c r="J155" i="5"/>
  <c r="M155" i="5" s="1"/>
  <c r="N155" i="5" s="1"/>
  <c r="I155" i="5"/>
  <c r="H155" i="5"/>
  <c r="F155" i="5"/>
  <c r="E155" i="5"/>
  <c r="D155" i="5"/>
  <c r="C155" i="5"/>
  <c r="W154" i="5"/>
  <c r="T154" i="5"/>
  <c r="P154" i="5"/>
  <c r="O154" i="5"/>
  <c r="N154" i="5"/>
  <c r="M154" i="5"/>
  <c r="K154" i="5"/>
  <c r="J154" i="5"/>
  <c r="Q154" i="5" s="1"/>
  <c r="I154" i="5"/>
  <c r="H154" i="5"/>
  <c r="F154" i="5"/>
  <c r="E154" i="5"/>
  <c r="D154" i="5"/>
  <c r="C154" i="5"/>
  <c r="T153" i="5"/>
  <c r="W153" i="5" s="1"/>
  <c r="Q153" i="5"/>
  <c r="O153" i="5"/>
  <c r="M153" i="5"/>
  <c r="P153" i="5" s="1"/>
  <c r="K153" i="5"/>
  <c r="J153" i="5"/>
  <c r="I153" i="5"/>
  <c r="H153" i="5"/>
  <c r="F153" i="5"/>
  <c r="E153" i="5"/>
  <c r="D153" i="5"/>
  <c r="C153" i="5"/>
  <c r="T152" i="5"/>
  <c r="W152" i="5" s="1"/>
  <c r="M152" i="5"/>
  <c r="P152" i="5" s="1"/>
  <c r="K152" i="5"/>
  <c r="O152" i="5" s="1"/>
  <c r="J152" i="5"/>
  <c r="Q152" i="5" s="1"/>
  <c r="I152" i="5"/>
  <c r="H152" i="5"/>
  <c r="F152" i="5"/>
  <c r="E152" i="5"/>
  <c r="D152" i="5"/>
  <c r="C152" i="5"/>
  <c r="T151" i="5"/>
  <c r="W151" i="5" s="1"/>
  <c r="M151" i="5"/>
  <c r="K151" i="5"/>
  <c r="O151" i="5" s="1"/>
  <c r="J151" i="5"/>
  <c r="Q151" i="5" s="1"/>
  <c r="I151" i="5"/>
  <c r="H151" i="5"/>
  <c r="F151" i="5"/>
  <c r="E151" i="5"/>
  <c r="D151" i="5"/>
  <c r="C151" i="5"/>
  <c r="T150" i="5"/>
  <c r="W150" i="5" s="1"/>
  <c r="K150" i="5"/>
  <c r="O150" i="5" s="1"/>
  <c r="J150" i="5"/>
  <c r="M150" i="5" s="1"/>
  <c r="I150" i="5"/>
  <c r="H150" i="5"/>
  <c r="F150" i="5"/>
  <c r="E150" i="5"/>
  <c r="D150" i="5"/>
  <c r="C150" i="5"/>
  <c r="T149" i="5"/>
  <c r="W149" i="5" s="1"/>
  <c r="K149" i="5"/>
  <c r="O149" i="5" s="1"/>
  <c r="J149" i="5"/>
  <c r="I149" i="5"/>
  <c r="H149" i="5"/>
  <c r="F149" i="5"/>
  <c r="E149" i="5"/>
  <c r="D149" i="5"/>
  <c r="C149" i="5"/>
  <c r="T148" i="5"/>
  <c r="W148" i="5" s="1"/>
  <c r="Q148" i="5"/>
  <c r="O148" i="5"/>
  <c r="M148" i="5"/>
  <c r="K148" i="5"/>
  <c r="J148" i="5"/>
  <c r="I148" i="5"/>
  <c r="H148" i="5"/>
  <c r="F148" i="5"/>
  <c r="E148" i="5"/>
  <c r="D148" i="5"/>
  <c r="C148" i="5"/>
  <c r="T147" i="5"/>
  <c r="W147" i="5" s="1"/>
  <c r="P147" i="5"/>
  <c r="N147" i="5"/>
  <c r="M147" i="5"/>
  <c r="K147" i="5"/>
  <c r="O147" i="5" s="1"/>
  <c r="J147" i="5"/>
  <c r="Q147" i="5" s="1"/>
  <c r="I147" i="5"/>
  <c r="H147" i="5"/>
  <c r="F147" i="5"/>
  <c r="E147" i="5"/>
  <c r="D147" i="5"/>
  <c r="C147" i="5"/>
  <c r="W146" i="5"/>
  <c r="T146" i="5"/>
  <c r="O146" i="5"/>
  <c r="M146" i="5"/>
  <c r="K146" i="5"/>
  <c r="J146" i="5"/>
  <c r="Q146" i="5" s="1"/>
  <c r="I146" i="5"/>
  <c r="H146" i="5"/>
  <c r="F146" i="5"/>
  <c r="E146" i="5"/>
  <c r="D146" i="5"/>
  <c r="C146" i="5"/>
  <c r="W145" i="5"/>
  <c r="T145" i="5"/>
  <c r="N145" i="5"/>
  <c r="M145" i="5"/>
  <c r="K145" i="5"/>
  <c r="O145" i="5" s="1"/>
  <c r="P145" i="5" s="1"/>
  <c r="J145" i="5"/>
  <c r="Q145" i="5" s="1"/>
  <c r="I145" i="5"/>
  <c r="H145" i="5"/>
  <c r="F145" i="5"/>
  <c r="E145" i="5"/>
  <c r="D145" i="5"/>
  <c r="C145" i="5"/>
  <c r="T144" i="5"/>
  <c r="W144" i="5" s="1"/>
  <c r="O144" i="5"/>
  <c r="K144" i="5"/>
  <c r="J144" i="5"/>
  <c r="Q144" i="5" s="1"/>
  <c r="I144" i="5"/>
  <c r="H144" i="5"/>
  <c r="F144" i="5"/>
  <c r="E144" i="5"/>
  <c r="D144" i="5"/>
  <c r="C144" i="5"/>
  <c r="W143" i="5"/>
  <c r="T143" i="5"/>
  <c r="K143" i="5"/>
  <c r="O143" i="5" s="1"/>
  <c r="J143" i="5"/>
  <c r="Q143" i="5" s="1"/>
  <c r="I143" i="5"/>
  <c r="H143" i="5"/>
  <c r="F143" i="5"/>
  <c r="E143" i="5"/>
  <c r="D143" i="5"/>
  <c r="C143" i="5"/>
  <c r="T142" i="5"/>
  <c r="W142" i="5" s="1"/>
  <c r="O142" i="5"/>
  <c r="K142" i="5"/>
  <c r="J142" i="5"/>
  <c r="M142" i="5" s="1"/>
  <c r="I142" i="5"/>
  <c r="H142" i="5"/>
  <c r="F142" i="5"/>
  <c r="E142" i="5"/>
  <c r="D142" i="5"/>
  <c r="C142" i="5"/>
  <c r="W141" i="5"/>
  <c r="T141" i="5"/>
  <c r="Q141" i="5"/>
  <c r="P141" i="5"/>
  <c r="N141" i="5"/>
  <c r="M141" i="5"/>
  <c r="K141" i="5"/>
  <c r="O141" i="5" s="1"/>
  <c r="J141" i="5"/>
  <c r="I141" i="5"/>
  <c r="H141" i="5"/>
  <c r="F141" i="5"/>
  <c r="E141" i="5"/>
  <c r="D141" i="5"/>
  <c r="C141" i="5"/>
  <c r="W140" i="5"/>
  <c r="T140" i="5"/>
  <c r="Q140" i="5"/>
  <c r="O140" i="5"/>
  <c r="K140" i="5"/>
  <c r="J140" i="5"/>
  <c r="M140" i="5" s="1"/>
  <c r="N140" i="5" s="1"/>
  <c r="I140" i="5"/>
  <c r="H140" i="5"/>
  <c r="F140" i="5"/>
  <c r="E140" i="5"/>
  <c r="D140" i="5"/>
  <c r="C140" i="5"/>
  <c r="T139" i="5"/>
  <c r="W139" i="5" s="1"/>
  <c r="Q139" i="5"/>
  <c r="P139" i="5"/>
  <c r="O139" i="5"/>
  <c r="N139" i="5"/>
  <c r="K139" i="5"/>
  <c r="J139" i="5"/>
  <c r="M139" i="5" s="1"/>
  <c r="I139" i="5"/>
  <c r="H139" i="5"/>
  <c r="F139" i="5"/>
  <c r="E139" i="5"/>
  <c r="D139" i="5"/>
  <c r="C139" i="5"/>
  <c r="T138" i="5"/>
  <c r="W138" i="5" s="1"/>
  <c r="O138" i="5"/>
  <c r="M138" i="5"/>
  <c r="N138" i="5" s="1"/>
  <c r="K138" i="5"/>
  <c r="J138" i="5"/>
  <c r="Q138" i="5" s="1"/>
  <c r="I138" i="5"/>
  <c r="H138" i="5"/>
  <c r="F138" i="5"/>
  <c r="E138" i="5"/>
  <c r="D138" i="5"/>
  <c r="C138" i="5"/>
  <c r="T137" i="5"/>
  <c r="W137" i="5" s="1"/>
  <c r="Q137" i="5"/>
  <c r="O137" i="5"/>
  <c r="M137" i="5"/>
  <c r="P137" i="5" s="1"/>
  <c r="K137" i="5"/>
  <c r="J137" i="5"/>
  <c r="I137" i="5"/>
  <c r="H137" i="5"/>
  <c r="F137" i="5"/>
  <c r="E137" i="5"/>
  <c r="D137" i="5"/>
  <c r="C137" i="5"/>
  <c r="W136" i="5"/>
  <c r="T136" i="5"/>
  <c r="K136" i="5"/>
  <c r="O136" i="5" s="1"/>
  <c r="J136" i="5"/>
  <c r="Q136" i="5" s="1"/>
  <c r="I136" i="5"/>
  <c r="H136" i="5"/>
  <c r="F136" i="5"/>
  <c r="E136" i="5"/>
  <c r="D136" i="5"/>
  <c r="C136" i="5"/>
  <c r="T135" i="5"/>
  <c r="W135" i="5" s="1"/>
  <c r="K135" i="5"/>
  <c r="O135" i="5" s="1"/>
  <c r="J135" i="5"/>
  <c r="Q135" i="5" s="1"/>
  <c r="I135" i="5"/>
  <c r="H135" i="5"/>
  <c r="F135" i="5"/>
  <c r="E135" i="5"/>
  <c r="D135" i="5"/>
  <c r="C135" i="5"/>
  <c r="W134" i="5"/>
  <c r="T134" i="5"/>
  <c r="Q134" i="5"/>
  <c r="K134" i="5"/>
  <c r="O134" i="5" s="1"/>
  <c r="J134" i="5"/>
  <c r="M134" i="5" s="1"/>
  <c r="I134" i="5"/>
  <c r="H134" i="5"/>
  <c r="F134" i="5"/>
  <c r="E134" i="5"/>
  <c r="D134" i="5"/>
  <c r="C134" i="5"/>
  <c r="T133" i="5"/>
  <c r="W133" i="5" s="1"/>
  <c r="K133" i="5"/>
  <c r="O133" i="5" s="1"/>
  <c r="J133" i="5"/>
  <c r="I133" i="5"/>
  <c r="H133" i="5"/>
  <c r="F133" i="5"/>
  <c r="E133" i="5"/>
  <c r="D133" i="5"/>
  <c r="C133" i="5"/>
  <c r="T132" i="5"/>
  <c r="W132" i="5" s="1"/>
  <c r="Q132" i="5"/>
  <c r="O132" i="5"/>
  <c r="M132" i="5"/>
  <c r="K132" i="5"/>
  <c r="J132" i="5"/>
  <c r="I132" i="5"/>
  <c r="H132" i="5"/>
  <c r="F132" i="5"/>
  <c r="E132" i="5"/>
  <c r="D132" i="5"/>
  <c r="C132" i="5"/>
  <c r="W131" i="5"/>
  <c r="T131" i="5"/>
  <c r="N131" i="5"/>
  <c r="M131" i="5"/>
  <c r="K131" i="5"/>
  <c r="O131" i="5" s="1"/>
  <c r="P131" i="5" s="1"/>
  <c r="J131" i="5"/>
  <c r="Q131" i="5" s="1"/>
  <c r="I131" i="5"/>
  <c r="H131" i="5"/>
  <c r="F131" i="5"/>
  <c r="E131" i="5"/>
  <c r="D131" i="5"/>
  <c r="C131" i="5"/>
  <c r="T130" i="5"/>
  <c r="W130" i="5" s="1"/>
  <c r="Q130" i="5"/>
  <c r="O130" i="5"/>
  <c r="M130" i="5"/>
  <c r="K130" i="5"/>
  <c r="J130" i="5"/>
  <c r="I130" i="5"/>
  <c r="H130" i="5"/>
  <c r="F130" i="5"/>
  <c r="E130" i="5"/>
  <c r="D130" i="5"/>
  <c r="C130" i="5"/>
  <c r="T129" i="5"/>
  <c r="W129" i="5" s="1"/>
  <c r="N129" i="5"/>
  <c r="M129" i="5"/>
  <c r="K129" i="5"/>
  <c r="O129" i="5" s="1"/>
  <c r="P129" i="5" s="1"/>
  <c r="J129" i="5"/>
  <c r="Q129" i="5" s="1"/>
  <c r="I129" i="5"/>
  <c r="H129" i="5"/>
  <c r="F129" i="5"/>
  <c r="E129" i="5"/>
  <c r="D129" i="5"/>
  <c r="C129" i="5"/>
  <c r="W128" i="5"/>
  <c r="T128" i="5"/>
  <c r="Q128" i="5"/>
  <c r="O128" i="5"/>
  <c r="M128" i="5"/>
  <c r="K128" i="5"/>
  <c r="J128" i="5"/>
  <c r="I128" i="5"/>
  <c r="H128" i="5"/>
  <c r="F128" i="5"/>
  <c r="E128" i="5"/>
  <c r="D128" i="5"/>
  <c r="C128" i="5"/>
  <c r="T127" i="5"/>
  <c r="W127" i="5" s="1"/>
  <c r="K127" i="5"/>
  <c r="O127" i="5" s="1"/>
  <c r="J127" i="5"/>
  <c r="Q127" i="5" s="1"/>
  <c r="I127" i="5"/>
  <c r="H127" i="5"/>
  <c r="F127" i="5"/>
  <c r="E127" i="5"/>
  <c r="D127" i="5"/>
  <c r="C127" i="5"/>
  <c r="T126" i="5"/>
  <c r="W126" i="5" s="1"/>
  <c r="Q126" i="5"/>
  <c r="O126" i="5"/>
  <c r="K126" i="5"/>
  <c r="J126" i="5"/>
  <c r="M126" i="5" s="1"/>
  <c r="I126" i="5"/>
  <c r="H126" i="5"/>
  <c r="F126" i="5"/>
  <c r="E126" i="5"/>
  <c r="D126" i="5"/>
  <c r="C126" i="5"/>
  <c r="W125" i="5"/>
  <c r="T125" i="5"/>
  <c r="Q125" i="5"/>
  <c r="P125" i="5"/>
  <c r="N125" i="5"/>
  <c r="M125" i="5"/>
  <c r="K125" i="5"/>
  <c r="O125" i="5" s="1"/>
  <c r="J125" i="5"/>
  <c r="I125" i="5"/>
  <c r="H125" i="5"/>
  <c r="F125" i="5"/>
  <c r="E125" i="5"/>
  <c r="D125" i="5"/>
  <c r="C125" i="5"/>
  <c r="W124" i="5"/>
  <c r="T124" i="5"/>
  <c r="O124" i="5"/>
  <c r="K124" i="5"/>
  <c r="J124" i="5"/>
  <c r="Q124" i="5" s="1"/>
  <c r="I124" i="5"/>
  <c r="H124" i="5"/>
  <c r="F124" i="5"/>
  <c r="E124" i="5"/>
  <c r="D124" i="5"/>
  <c r="C124" i="5"/>
  <c r="W123" i="5"/>
  <c r="T123" i="5"/>
  <c r="Q123" i="5"/>
  <c r="N123" i="5"/>
  <c r="K123" i="5"/>
  <c r="O123" i="5" s="1"/>
  <c r="P123" i="5" s="1"/>
  <c r="J123" i="5"/>
  <c r="M123" i="5" s="1"/>
  <c r="I123" i="5"/>
  <c r="H123" i="5"/>
  <c r="F123" i="5"/>
  <c r="E123" i="5"/>
  <c r="D123" i="5"/>
  <c r="C123" i="5"/>
  <c r="T122" i="5"/>
  <c r="W122" i="5" s="1"/>
  <c r="O122" i="5"/>
  <c r="K122" i="5"/>
  <c r="J122" i="5"/>
  <c r="Q122" i="5" s="1"/>
  <c r="I122" i="5"/>
  <c r="H122" i="5"/>
  <c r="F122" i="5"/>
  <c r="E122" i="5"/>
  <c r="D122" i="5"/>
  <c r="C122" i="5"/>
  <c r="W121" i="5"/>
  <c r="T121" i="5"/>
  <c r="Q121" i="5"/>
  <c r="M121" i="5"/>
  <c r="K121" i="5"/>
  <c r="O121" i="5" s="1"/>
  <c r="J121" i="5"/>
  <c r="I121" i="5"/>
  <c r="H121" i="5"/>
  <c r="F121" i="5"/>
  <c r="E121" i="5"/>
  <c r="D121" i="5"/>
  <c r="C121" i="5"/>
  <c r="W120" i="5"/>
  <c r="T120" i="5"/>
  <c r="Q120" i="5"/>
  <c r="M120" i="5"/>
  <c r="P120" i="5" s="1"/>
  <c r="K120" i="5"/>
  <c r="O120" i="5" s="1"/>
  <c r="J120" i="5"/>
  <c r="I120" i="5"/>
  <c r="H120" i="5"/>
  <c r="F120" i="5"/>
  <c r="E120" i="5"/>
  <c r="D120" i="5"/>
  <c r="C120" i="5"/>
  <c r="T119" i="5"/>
  <c r="W119" i="5" s="1"/>
  <c r="M119" i="5"/>
  <c r="N119" i="5" s="1"/>
  <c r="K119" i="5"/>
  <c r="O119" i="5" s="1"/>
  <c r="J119" i="5"/>
  <c r="Q119" i="5" s="1"/>
  <c r="I119" i="5"/>
  <c r="H119" i="5"/>
  <c r="F119" i="5"/>
  <c r="E119" i="5"/>
  <c r="D119" i="5"/>
  <c r="C119" i="5"/>
  <c r="T118" i="5"/>
  <c r="W118" i="5" s="1"/>
  <c r="Q118" i="5"/>
  <c r="K118" i="5"/>
  <c r="O118" i="5" s="1"/>
  <c r="J118" i="5"/>
  <c r="M118" i="5" s="1"/>
  <c r="I118" i="5"/>
  <c r="H118" i="5"/>
  <c r="F118" i="5"/>
  <c r="E118" i="5"/>
  <c r="D118" i="5"/>
  <c r="C118" i="5"/>
  <c r="T117" i="5"/>
  <c r="W117" i="5" s="1"/>
  <c r="K117" i="5"/>
  <c r="O117" i="5" s="1"/>
  <c r="J117" i="5"/>
  <c r="I117" i="5"/>
  <c r="H117" i="5"/>
  <c r="F117" i="5"/>
  <c r="E117" i="5"/>
  <c r="D117" i="5"/>
  <c r="C117" i="5"/>
  <c r="T116" i="5"/>
  <c r="W116" i="5" s="1"/>
  <c r="Q116" i="5"/>
  <c r="O116" i="5"/>
  <c r="M116" i="5"/>
  <c r="K116" i="5"/>
  <c r="J116" i="5"/>
  <c r="I116" i="5"/>
  <c r="H116" i="5"/>
  <c r="F116" i="5"/>
  <c r="E116" i="5"/>
  <c r="D116" i="5"/>
  <c r="C116" i="5"/>
  <c r="T115" i="5"/>
  <c r="W115" i="5" s="1"/>
  <c r="P115" i="5"/>
  <c r="N115" i="5"/>
  <c r="M115" i="5"/>
  <c r="K115" i="5"/>
  <c r="O115" i="5" s="1"/>
  <c r="J115" i="5"/>
  <c r="Q115" i="5" s="1"/>
  <c r="I115" i="5"/>
  <c r="H115" i="5"/>
  <c r="F115" i="5"/>
  <c r="E115" i="5"/>
  <c r="D115" i="5"/>
  <c r="C115" i="5"/>
  <c r="T114" i="5"/>
  <c r="W114" i="5" s="1"/>
  <c r="O114" i="5"/>
  <c r="M114" i="5"/>
  <c r="K114" i="5"/>
  <c r="J114" i="5"/>
  <c r="Q114" i="5" s="1"/>
  <c r="I114" i="5"/>
  <c r="H114" i="5"/>
  <c r="F114" i="5"/>
  <c r="E114" i="5"/>
  <c r="D114" i="5"/>
  <c r="C114" i="5"/>
  <c r="T113" i="5"/>
  <c r="W113" i="5" s="1"/>
  <c r="N113" i="5"/>
  <c r="M113" i="5"/>
  <c r="K113" i="5"/>
  <c r="O113" i="5" s="1"/>
  <c r="P113" i="5" s="1"/>
  <c r="J113" i="5"/>
  <c r="Q113" i="5" s="1"/>
  <c r="I113" i="5"/>
  <c r="H113" i="5"/>
  <c r="F113" i="5"/>
  <c r="E113" i="5"/>
  <c r="D113" i="5"/>
  <c r="C113" i="5"/>
  <c r="T112" i="5"/>
  <c r="W112" i="5" s="1"/>
  <c r="O112" i="5"/>
  <c r="K112" i="5"/>
  <c r="J112" i="5"/>
  <c r="Q112" i="5" s="1"/>
  <c r="I112" i="5"/>
  <c r="H112" i="5"/>
  <c r="F112" i="5"/>
  <c r="E112" i="5"/>
  <c r="D112" i="5"/>
  <c r="C112" i="5"/>
  <c r="W111" i="5"/>
  <c r="T111" i="5"/>
  <c r="K111" i="5"/>
  <c r="O111" i="5" s="1"/>
  <c r="J111" i="5"/>
  <c r="I111" i="5"/>
  <c r="H111" i="5"/>
  <c r="F111" i="5"/>
  <c r="E111" i="5"/>
  <c r="D111" i="5"/>
  <c r="C111" i="5"/>
  <c r="T110" i="5"/>
  <c r="W110" i="5" s="1"/>
  <c r="Q110" i="5"/>
  <c r="O110" i="5"/>
  <c r="M110" i="5"/>
  <c r="K110" i="5"/>
  <c r="J110" i="5"/>
  <c r="I110" i="5"/>
  <c r="H110" i="5"/>
  <c r="F110" i="5"/>
  <c r="E110" i="5"/>
  <c r="D110" i="5"/>
  <c r="C110" i="5"/>
  <c r="T109" i="5"/>
  <c r="W109" i="5" s="1"/>
  <c r="Q109" i="5"/>
  <c r="P109" i="5"/>
  <c r="N109" i="5"/>
  <c r="M109" i="5"/>
  <c r="K109" i="5"/>
  <c r="O109" i="5" s="1"/>
  <c r="J109" i="5"/>
  <c r="I109" i="5"/>
  <c r="H109" i="5"/>
  <c r="F109" i="5"/>
  <c r="E109" i="5"/>
  <c r="D109" i="5"/>
  <c r="C109" i="5"/>
  <c r="W108" i="5"/>
  <c r="T108" i="5"/>
  <c r="O108" i="5"/>
  <c r="K108" i="5"/>
  <c r="J108" i="5"/>
  <c r="Q108" i="5" s="1"/>
  <c r="I108" i="5"/>
  <c r="H108" i="5"/>
  <c r="F108" i="5"/>
  <c r="E108" i="5"/>
  <c r="D108" i="5"/>
  <c r="C108" i="5"/>
  <c r="T107" i="5"/>
  <c r="W107" i="5" s="1"/>
  <c r="Q107" i="5"/>
  <c r="K107" i="5"/>
  <c r="O107" i="5" s="1"/>
  <c r="J107" i="5"/>
  <c r="M107" i="5" s="1"/>
  <c r="I107" i="5"/>
  <c r="H107" i="5"/>
  <c r="F107" i="5"/>
  <c r="E107" i="5"/>
  <c r="D107" i="5"/>
  <c r="C107" i="5"/>
  <c r="T106" i="5"/>
  <c r="W106" i="5" s="1"/>
  <c r="O106" i="5"/>
  <c r="K106" i="5"/>
  <c r="J106" i="5"/>
  <c r="Q106" i="5" s="1"/>
  <c r="I106" i="5"/>
  <c r="H106" i="5"/>
  <c r="F106" i="5"/>
  <c r="E106" i="5"/>
  <c r="D106" i="5"/>
  <c r="C106" i="5"/>
  <c r="W105" i="5"/>
  <c r="T105" i="5"/>
  <c r="Q105" i="5"/>
  <c r="O105" i="5"/>
  <c r="P105" i="5" s="1"/>
  <c r="N105" i="5"/>
  <c r="M105" i="5"/>
  <c r="K105" i="5"/>
  <c r="J105" i="5"/>
  <c r="I105" i="5"/>
  <c r="H105" i="5"/>
  <c r="F105" i="5"/>
  <c r="E105" i="5"/>
  <c r="D105" i="5"/>
  <c r="C105" i="5"/>
  <c r="T104" i="5"/>
  <c r="W104" i="5" s="1"/>
  <c r="M104" i="5"/>
  <c r="K104" i="5"/>
  <c r="O104" i="5" s="1"/>
  <c r="J104" i="5"/>
  <c r="Q104" i="5" s="1"/>
  <c r="I104" i="5"/>
  <c r="H104" i="5"/>
  <c r="F104" i="5"/>
  <c r="E104" i="5"/>
  <c r="D104" i="5"/>
  <c r="C104" i="5"/>
  <c r="W103" i="5"/>
  <c r="T103" i="5"/>
  <c r="K103" i="5"/>
  <c r="O103" i="5" s="1"/>
  <c r="J103" i="5"/>
  <c r="Q103" i="5" s="1"/>
  <c r="I103" i="5"/>
  <c r="H103" i="5"/>
  <c r="F103" i="5"/>
  <c r="E103" i="5"/>
  <c r="D103" i="5"/>
  <c r="C103" i="5"/>
  <c r="T102" i="5"/>
  <c r="W102" i="5" s="1"/>
  <c r="Q102" i="5"/>
  <c r="O102" i="5"/>
  <c r="M102" i="5"/>
  <c r="N102" i="5" s="1"/>
  <c r="K102" i="5"/>
  <c r="J102" i="5"/>
  <c r="I102" i="5"/>
  <c r="H102" i="5"/>
  <c r="F102" i="5"/>
  <c r="E102" i="5"/>
  <c r="D102" i="5"/>
  <c r="C102" i="5"/>
  <c r="T101" i="5"/>
  <c r="W101" i="5" s="1"/>
  <c r="Q101" i="5"/>
  <c r="O101" i="5"/>
  <c r="N101" i="5"/>
  <c r="K101" i="5"/>
  <c r="J101" i="5"/>
  <c r="M101" i="5" s="1"/>
  <c r="P101" i="5" s="1"/>
  <c r="I101" i="5"/>
  <c r="H101" i="5"/>
  <c r="F101" i="5"/>
  <c r="E101" i="5"/>
  <c r="D101" i="5"/>
  <c r="C101" i="5"/>
  <c r="T100" i="5"/>
  <c r="W100" i="5" s="1"/>
  <c r="Q100" i="5"/>
  <c r="O100" i="5"/>
  <c r="M100" i="5"/>
  <c r="P100" i="5" s="1"/>
  <c r="K100" i="5"/>
  <c r="J100" i="5"/>
  <c r="I100" i="5"/>
  <c r="H100" i="5"/>
  <c r="F100" i="5"/>
  <c r="E100" i="5"/>
  <c r="D100" i="5"/>
  <c r="C100" i="5"/>
  <c r="T99" i="5"/>
  <c r="W99" i="5" s="1"/>
  <c r="M99" i="5"/>
  <c r="P99" i="5" s="1"/>
  <c r="K99" i="5"/>
  <c r="O99" i="5" s="1"/>
  <c r="J99" i="5"/>
  <c r="Q99" i="5" s="1"/>
  <c r="I99" i="5"/>
  <c r="H99" i="5"/>
  <c r="F99" i="5"/>
  <c r="E99" i="5"/>
  <c r="D99" i="5"/>
  <c r="C99" i="5"/>
  <c r="W98" i="5"/>
  <c r="T98" i="5"/>
  <c r="O98" i="5"/>
  <c r="K98" i="5"/>
  <c r="J98" i="5"/>
  <c r="Q98" i="5" s="1"/>
  <c r="I98" i="5"/>
  <c r="H98" i="5"/>
  <c r="F98" i="5"/>
  <c r="E98" i="5"/>
  <c r="D98" i="5"/>
  <c r="C98" i="5"/>
  <c r="T97" i="5"/>
  <c r="W97" i="5" s="1"/>
  <c r="K97" i="5"/>
  <c r="O97" i="5" s="1"/>
  <c r="J97" i="5"/>
  <c r="Q97" i="5" s="1"/>
  <c r="I97" i="5"/>
  <c r="H97" i="5"/>
  <c r="F97" i="5"/>
  <c r="E97" i="5"/>
  <c r="D97" i="5"/>
  <c r="C97" i="5"/>
  <c r="W96" i="5"/>
  <c r="T96" i="5"/>
  <c r="O96" i="5"/>
  <c r="M96" i="5"/>
  <c r="K96" i="5"/>
  <c r="J96" i="5"/>
  <c r="Q96" i="5" s="1"/>
  <c r="I96" i="5"/>
  <c r="H96" i="5"/>
  <c r="F96" i="5"/>
  <c r="E96" i="5"/>
  <c r="D96" i="5"/>
  <c r="C96" i="5"/>
  <c r="T95" i="5"/>
  <c r="W95" i="5" s="1"/>
  <c r="K95" i="5"/>
  <c r="O95" i="5" s="1"/>
  <c r="J95" i="5"/>
  <c r="I95" i="5"/>
  <c r="H95" i="5"/>
  <c r="F95" i="5"/>
  <c r="E95" i="5"/>
  <c r="D95" i="5"/>
  <c r="C95" i="5"/>
  <c r="T94" i="5"/>
  <c r="W94" i="5" s="1"/>
  <c r="Q94" i="5"/>
  <c r="O94" i="5"/>
  <c r="M94" i="5"/>
  <c r="K94" i="5"/>
  <c r="J94" i="5"/>
  <c r="I94" i="5"/>
  <c r="H94" i="5"/>
  <c r="F94" i="5"/>
  <c r="E94" i="5"/>
  <c r="D94" i="5"/>
  <c r="C94" i="5"/>
  <c r="T93" i="5"/>
  <c r="W93" i="5" s="1"/>
  <c r="Q93" i="5"/>
  <c r="P93" i="5"/>
  <c r="K93" i="5"/>
  <c r="O93" i="5" s="1"/>
  <c r="J93" i="5"/>
  <c r="M93" i="5" s="1"/>
  <c r="N93" i="5" s="1"/>
  <c r="I93" i="5"/>
  <c r="H93" i="5"/>
  <c r="F93" i="5"/>
  <c r="E93" i="5"/>
  <c r="D93" i="5"/>
  <c r="C93" i="5"/>
  <c r="W92" i="5"/>
  <c r="T92" i="5"/>
  <c r="O92" i="5"/>
  <c r="M92" i="5"/>
  <c r="N92" i="5" s="1"/>
  <c r="K92" i="5"/>
  <c r="J92" i="5"/>
  <c r="Q92" i="5" s="1"/>
  <c r="I92" i="5"/>
  <c r="H92" i="5"/>
  <c r="F92" i="5"/>
  <c r="E92" i="5"/>
  <c r="D92" i="5"/>
  <c r="C92" i="5"/>
  <c r="T91" i="5"/>
  <c r="W91" i="5" s="1"/>
  <c r="Q91" i="5"/>
  <c r="O91" i="5"/>
  <c r="P91" i="5" s="1"/>
  <c r="K91" i="5"/>
  <c r="J91" i="5"/>
  <c r="M91" i="5" s="1"/>
  <c r="N91" i="5" s="1"/>
  <c r="I91" i="5"/>
  <c r="H91" i="5"/>
  <c r="F91" i="5"/>
  <c r="E91" i="5"/>
  <c r="D91" i="5"/>
  <c r="C91" i="5"/>
  <c r="T90" i="5"/>
  <c r="W90" i="5" s="1"/>
  <c r="Q90" i="5"/>
  <c r="P90" i="5"/>
  <c r="O90" i="5"/>
  <c r="M90" i="5"/>
  <c r="N90" i="5" s="1"/>
  <c r="K90" i="5"/>
  <c r="J90" i="5"/>
  <c r="I90" i="5"/>
  <c r="H90" i="5"/>
  <c r="F90" i="5"/>
  <c r="E90" i="5"/>
  <c r="D90" i="5"/>
  <c r="C90" i="5"/>
  <c r="T89" i="5"/>
  <c r="W89" i="5" s="1"/>
  <c r="Q89" i="5"/>
  <c r="O89" i="5"/>
  <c r="P89" i="5" s="1"/>
  <c r="M89" i="5"/>
  <c r="N89" i="5" s="1"/>
  <c r="K89" i="5"/>
  <c r="J89" i="5"/>
  <c r="I89" i="5"/>
  <c r="H89" i="5"/>
  <c r="F89" i="5"/>
  <c r="E89" i="5"/>
  <c r="D89" i="5"/>
  <c r="C89" i="5"/>
  <c r="W88" i="5"/>
  <c r="T88" i="5"/>
  <c r="Q88" i="5"/>
  <c r="O88" i="5"/>
  <c r="M88" i="5"/>
  <c r="P88" i="5" s="1"/>
  <c r="K88" i="5"/>
  <c r="J88" i="5"/>
  <c r="I88" i="5"/>
  <c r="H88" i="5"/>
  <c r="F88" i="5"/>
  <c r="E88" i="5"/>
  <c r="D88" i="5"/>
  <c r="C88" i="5"/>
  <c r="W87" i="5"/>
  <c r="T87" i="5"/>
  <c r="K87" i="5"/>
  <c r="O87" i="5" s="1"/>
  <c r="J87" i="5"/>
  <c r="Q87" i="5" s="1"/>
  <c r="I87" i="5"/>
  <c r="H87" i="5"/>
  <c r="F87" i="5"/>
  <c r="E87" i="5"/>
  <c r="D87" i="5"/>
  <c r="C87" i="5"/>
  <c r="W86" i="5"/>
  <c r="T86" i="5"/>
  <c r="Q86" i="5"/>
  <c r="M86" i="5"/>
  <c r="N86" i="5" s="1"/>
  <c r="K86" i="5"/>
  <c r="O86" i="5" s="1"/>
  <c r="J86" i="5"/>
  <c r="I86" i="5"/>
  <c r="H86" i="5"/>
  <c r="F86" i="5"/>
  <c r="E86" i="5"/>
  <c r="D86" i="5"/>
  <c r="C86" i="5"/>
  <c r="W85" i="5"/>
  <c r="T85" i="5"/>
  <c r="K85" i="5"/>
  <c r="O85" i="5" s="1"/>
  <c r="J85" i="5"/>
  <c r="M85" i="5" s="1"/>
  <c r="I85" i="5"/>
  <c r="H85" i="5"/>
  <c r="F85" i="5"/>
  <c r="E85" i="5"/>
  <c r="D85" i="5"/>
  <c r="C85" i="5"/>
  <c r="T84" i="5"/>
  <c r="W84" i="5" s="1"/>
  <c r="O84" i="5"/>
  <c r="K84" i="5"/>
  <c r="J84" i="5"/>
  <c r="Q84" i="5" s="1"/>
  <c r="I84" i="5"/>
  <c r="H84" i="5"/>
  <c r="F84" i="5"/>
  <c r="E84" i="5"/>
  <c r="D84" i="5"/>
  <c r="C84" i="5"/>
  <c r="T83" i="5"/>
  <c r="W83" i="5" s="1"/>
  <c r="M83" i="5"/>
  <c r="N83" i="5" s="1"/>
  <c r="K83" i="5"/>
  <c r="O83" i="5" s="1"/>
  <c r="P83" i="5" s="1"/>
  <c r="J83" i="5"/>
  <c r="Q83" i="5" s="1"/>
  <c r="I83" i="5"/>
  <c r="H83" i="5"/>
  <c r="F83" i="5"/>
  <c r="E83" i="5"/>
  <c r="D83" i="5"/>
  <c r="C83" i="5"/>
  <c r="W82" i="5"/>
  <c r="T82" i="5"/>
  <c r="O82" i="5"/>
  <c r="K82" i="5"/>
  <c r="J82" i="5"/>
  <c r="M82" i="5" s="1"/>
  <c r="I82" i="5"/>
  <c r="H82" i="5"/>
  <c r="F82" i="5"/>
  <c r="E82" i="5"/>
  <c r="D82" i="5"/>
  <c r="C82" i="5"/>
  <c r="T81" i="5"/>
  <c r="W81" i="5" s="1"/>
  <c r="M81" i="5"/>
  <c r="N81" i="5" s="1"/>
  <c r="K81" i="5"/>
  <c r="O81" i="5" s="1"/>
  <c r="J81" i="5"/>
  <c r="Q81" i="5" s="1"/>
  <c r="I81" i="5"/>
  <c r="H81" i="5"/>
  <c r="F81" i="5"/>
  <c r="E81" i="5"/>
  <c r="D81" i="5"/>
  <c r="C81" i="5"/>
  <c r="T80" i="5"/>
  <c r="W80" i="5" s="1"/>
  <c r="O80" i="5"/>
  <c r="K80" i="5"/>
  <c r="J80" i="5"/>
  <c r="Q80" i="5" s="1"/>
  <c r="I80" i="5"/>
  <c r="H80" i="5"/>
  <c r="F80" i="5"/>
  <c r="E80" i="5"/>
  <c r="D80" i="5"/>
  <c r="C80" i="5"/>
  <c r="T79" i="5"/>
  <c r="W79" i="5" s="1"/>
  <c r="K79" i="5"/>
  <c r="O79" i="5" s="1"/>
  <c r="J79" i="5"/>
  <c r="I79" i="5"/>
  <c r="H79" i="5"/>
  <c r="F79" i="5"/>
  <c r="E79" i="5"/>
  <c r="D79" i="5"/>
  <c r="C79" i="5"/>
  <c r="T78" i="5"/>
  <c r="W78" i="5" s="1"/>
  <c r="O78" i="5"/>
  <c r="K78" i="5"/>
  <c r="J78" i="5"/>
  <c r="Q78" i="5" s="1"/>
  <c r="I78" i="5"/>
  <c r="H78" i="5"/>
  <c r="F78" i="5"/>
  <c r="E78" i="5"/>
  <c r="D78" i="5"/>
  <c r="C78" i="5"/>
  <c r="T77" i="5"/>
  <c r="W77" i="5" s="1"/>
  <c r="Q77" i="5"/>
  <c r="P77" i="5"/>
  <c r="N77" i="5"/>
  <c r="K77" i="5"/>
  <c r="O77" i="5" s="1"/>
  <c r="J77" i="5"/>
  <c r="M77" i="5" s="1"/>
  <c r="I77" i="5"/>
  <c r="H77" i="5"/>
  <c r="F77" i="5"/>
  <c r="E77" i="5"/>
  <c r="D77" i="5"/>
  <c r="C77" i="5"/>
  <c r="W76" i="5"/>
  <c r="T76" i="5"/>
  <c r="O76" i="5"/>
  <c r="K76" i="5"/>
  <c r="J76" i="5"/>
  <c r="Q76" i="5" s="1"/>
  <c r="I76" i="5"/>
  <c r="H76" i="5"/>
  <c r="F76" i="5"/>
  <c r="E76" i="5"/>
  <c r="D76" i="5"/>
  <c r="C76" i="5"/>
  <c r="W75" i="5"/>
  <c r="T75" i="5"/>
  <c r="Q75" i="5"/>
  <c r="N75" i="5"/>
  <c r="K75" i="5"/>
  <c r="O75" i="5" s="1"/>
  <c r="P75" i="5" s="1"/>
  <c r="J75" i="5"/>
  <c r="M75" i="5" s="1"/>
  <c r="I75" i="5"/>
  <c r="H75" i="5"/>
  <c r="F75" i="5"/>
  <c r="E75" i="5"/>
  <c r="D75" i="5"/>
  <c r="C75" i="5"/>
  <c r="W74" i="5"/>
  <c r="T74" i="5"/>
  <c r="O74" i="5"/>
  <c r="K74" i="5"/>
  <c r="J74" i="5"/>
  <c r="Q74" i="5" s="1"/>
  <c r="I74" i="5"/>
  <c r="H74" i="5"/>
  <c r="F74" i="5"/>
  <c r="E74" i="5"/>
  <c r="D74" i="5"/>
  <c r="C74" i="5"/>
  <c r="T73" i="5"/>
  <c r="W73" i="5" s="1"/>
  <c r="Q73" i="5"/>
  <c r="O73" i="5"/>
  <c r="M73" i="5"/>
  <c r="P73" i="5" s="1"/>
  <c r="K73" i="5"/>
  <c r="J73" i="5"/>
  <c r="I73" i="5"/>
  <c r="H73" i="5"/>
  <c r="F73" i="5"/>
  <c r="E73" i="5"/>
  <c r="D73" i="5"/>
  <c r="C73" i="5"/>
  <c r="W72" i="5"/>
  <c r="T72" i="5"/>
  <c r="Q72" i="5"/>
  <c r="M72" i="5"/>
  <c r="K72" i="5"/>
  <c r="O72" i="5" s="1"/>
  <c r="J72" i="5"/>
  <c r="I72" i="5"/>
  <c r="H72" i="5"/>
  <c r="F72" i="5"/>
  <c r="E72" i="5"/>
  <c r="D72" i="5"/>
  <c r="C72" i="5"/>
  <c r="T71" i="5"/>
  <c r="W71" i="5" s="1"/>
  <c r="K71" i="5"/>
  <c r="O71" i="5" s="1"/>
  <c r="J71" i="5"/>
  <c r="Q71" i="5" s="1"/>
  <c r="I71" i="5"/>
  <c r="H71" i="5"/>
  <c r="F71" i="5"/>
  <c r="E71" i="5"/>
  <c r="D71" i="5"/>
  <c r="C71" i="5"/>
  <c r="W70" i="5"/>
  <c r="T70" i="5"/>
  <c r="O70" i="5"/>
  <c r="K70" i="5"/>
  <c r="J70" i="5"/>
  <c r="Q70" i="5" s="1"/>
  <c r="I70" i="5"/>
  <c r="H70" i="5"/>
  <c r="F70" i="5"/>
  <c r="E70" i="5"/>
  <c r="D70" i="5"/>
  <c r="C70" i="5"/>
  <c r="T69" i="5"/>
  <c r="W69" i="5" s="1"/>
  <c r="O69" i="5"/>
  <c r="M69" i="5"/>
  <c r="P69" i="5" s="1"/>
  <c r="K69" i="5"/>
  <c r="J69" i="5"/>
  <c r="Q69" i="5" s="1"/>
  <c r="I69" i="5"/>
  <c r="H69" i="5"/>
  <c r="F69" i="5"/>
  <c r="E69" i="5"/>
  <c r="D69" i="5"/>
  <c r="C69" i="5"/>
  <c r="T68" i="5"/>
  <c r="W68" i="5" s="1"/>
  <c r="Q68" i="5"/>
  <c r="M68" i="5"/>
  <c r="P68" i="5" s="1"/>
  <c r="K68" i="5"/>
  <c r="O68" i="5" s="1"/>
  <c r="J68" i="5"/>
  <c r="I68" i="5"/>
  <c r="H68" i="5"/>
  <c r="F68" i="5"/>
  <c r="E68" i="5"/>
  <c r="D68" i="5"/>
  <c r="C68" i="5"/>
  <c r="T67" i="5"/>
  <c r="W67" i="5" s="1"/>
  <c r="O67" i="5"/>
  <c r="K67" i="5"/>
  <c r="J67" i="5"/>
  <c r="Q67" i="5" s="1"/>
  <c r="I67" i="5"/>
  <c r="H67" i="5"/>
  <c r="F67" i="5"/>
  <c r="E67" i="5"/>
  <c r="D67" i="5"/>
  <c r="C67" i="5"/>
  <c r="T66" i="5"/>
  <c r="W66" i="5" s="1"/>
  <c r="Q66" i="5"/>
  <c r="O66" i="5"/>
  <c r="M66" i="5"/>
  <c r="K66" i="5"/>
  <c r="J66" i="5"/>
  <c r="I66" i="5"/>
  <c r="H66" i="5"/>
  <c r="F66" i="5"/>
  <c r="E66" i="5"/>
  <c r="D66" i="5"/>
  <c r="C66" i="5"/>
  <c r="T65" i="5"/>
  <c r="W65" i="5" s="1"/>
  <c r="K65" i="5"/>
  <c r="O65" i="5" s="1"/>
  <c r="J65" i="5"/>
  <c r="Q65" i="5" s="1"/>
  <c r="I65" i="5"/>
  <c r="H65" i="5"/>
  <c r="F65" i="5"/>
  <c r="E65" i="5"/>
  <c r="D65" i="5"/>
  <c r="C65" i="5"/>
  <c r="W64" i="5"/>
  <c r="T64" i="5"/>
  <c r="Q64" i="5"/>
  <c r="M64" i="5"/>
  <c r="N64" i="5" s="1"/>
  <c r="K64" i="5"/>
  <c r="O64" i="5" s="1"/>
  <c r="J64" i="5"/>
  <c r="I64" i="5"/>
  <c r="H64" i="5"/>
  <c r="F64" i="5"/>
  <c r="E64" i="5"/>
  <c r="D64" i="5"/>
  <c r="C64" i="5"/>
  <c r="T63" i="5"/>
  <c r="W63" i="5" s="1"/>
  <c r="K63" i="5"/>
  <c r="O63" i="5" s="1"/>
  <c r="J63" i="5"/>
  <c r="Q63" i="5" s="1"/>
  <c r="I63" i="5"/>
  <c r="H63" i="5"/>
  <c r="F63" i="5"/>
  <c r="E63" i="5"/>
  <c r="D63" i="5"/>
  <c r="C63" i="5"/>
  <c r="T62" i="5"/>
  <c r="W62" i="5" s="1"/>
  <c r="O62" i="5"/>
  <c r="K62" i="5"/>
  <c r="J62" i="5"/>
  <c r="Q62" i="5" s="1"/>
  <c r="I62" i="5"/>
  <c r="H62" i="5"/>
  <c r="F62" i="5"/>
  <c r="E62" i="5"/>
  <c r="D62" i="5"/>
  <c r="C62" i="5"/>
  <c r="T61" i="5"/>
  <c r="W61" i="5" s="1"/>
  <c r="O61" i="5"/>
  <c r="K61" i="5"/>
  <c r="J61" i="5"/>
  <c r="Q61" i="5" s="1"/>
  <c r="I61" i="5"/>
  <c r="H61" i="5"/>
  <c r="F61" i="5"/>
  <c r="E61" i="5"/>
  <c r="D61" i="5"/>
  <c r="C61" i="5"/>
  <c r="W60" i="5"/>
  <c r="T60" i="5"/>
  <c r="O60" i="5"/>
  <c r="M60" i="5"/>
  <c r="P60" i="5" s="1"/>
  <c r="K60" i="5"/>
  <c r="J60" i="5"/>
  <c r="Q60" i="5" s="1"/>
  <c r="I60" i="5"/>
  <c r="H60" i="5"/>
  <c r="F60" i="5"/>
  <c r="E60" i="5"/>
  <c r="D60" i="5"/>
  <c r="C60" i="5"/>
  <c r="T59" i="5"/>
  <c r="W59" i="5" s="1"/>
  <c r="Q59" i="5"/>
  <c r="M59" i="5"/>
  <c r="P59" i="5" s="1"/>
  <c r="K59" i="5"/>
  <c r="O59" i="5" s="1"/>
  <c r="J59" i="5"/>
  <c r="I59" i="5"/>
  <c r="H59" i="5"/>
  <c r="F59" i="5"/>
  <c r="E59" i="5"/>
  <c r="D59" i="5"/>
  <c r="C59" i="5"/>
  <c r="W58" i="5"/>
  <c r="T58" i="5"/>
  <c r="K58" i="5"/>
  <c r="O58" i="5" s="1"/>
  <c r="J58" i="5"/>
  <c r="M58" i="5" s="1"/>
  <c r="I58" i="5"/>
  <c r="H58" i="5"/>
  <c r="F58" i="5"/>
  <c r="E58" i="5"/>
  <c r="D58" i="5"/>
  <c r="C58" i="5"/>
  <c r="T57" i="5"/>
  <c r="W57" i="5" s="1"/>
  <c r="O57" i="5"/>
  <c r="K57" i="5"/>
  <c r="J57" i="5"/>
  <c r="M57" i="5" s="1"/>
  <c r="I57" i="5"/>
  <c r="H57" i="5"/>
  <c r="F57" i="5"/>
  <c r="E57" i="5"/>
  <c r="D57" i="5"/>
  <c r="C57" i="5"/>
  <c r="T56" i="5"/>
  <c r="W56" i="5" s="1"/>
  <c r="Q56" i="5"/>
  <c r="O56" i="5"/>
  <c r="K56" i="5"/>
  <c r="J56" i="5"/>
  <c r="M56" i="5" s="1"/>
  <c r="I56" i="5"/>
  <c r="H56" i="5"/>
  <c r="F56" i="5"/>
  <c r="E56" i="5"/>
  <c r="D56" i="5"/>
  <c r="C56" i="5"/>
  <c r="T55" i="5"/>
  <c r="W55" i="5" s="1"/>
  <c r="Q55" i="5"/>
  <c r="P55" i="5"/>
  <c r="O55" i="5"/>
  <c r="M55" i="5"/>
  <c r="N55" i="5" s="1"/>
  <c r="K55" i="5"/>
  <c r="J55" i="5"/>
  <c r="I55" i="5"/>
  <c r="H55" i="5"/>
  <c r="F55" i="5"/>
  <c r="E55" i="5"/>
  <c r="D55" i="5"/>
  <c r="C55" i="5"/>
  <c r="T54" i="5"/>
  <c r="W54" i="5" s="1"/>
  <c r="Q54" i="5"/>
  <c r="O54" i="5"/>
  <c r="P54" i="5" s="1"/>
  <c r="M54" i="5"/>
  <c r="N54" i="5" s="1"/>
  <c r="K54" i="5"/>
  <c r="J54" i="5"/>
  <c r="I54" i="5"/>
  <c r="H54" i="5"/>
  <c r="F54" i="5"/>
  <c r="E54" i="5"/>
  <c r="D54" i="5"/>
  <c r="C54" i="5"/>
  <c r="T53" i="5"/>
  <c r="W53" i="5" s="1"/>
  <c r="Q53" i="5"/>
  <c r="O53" i="5"/>
  <c r="K53" i="5"/>
  <c r="J53" i="5"/>
  <c r="M53" i="5" s="1"/>
  <c r="I53" i="5"/>
  <c r="H53" i="5"/>
  <c r="F53" i="5"/>
  <c r="E53" i="5"/>
  <c r="D53" i="5"/>
  <c r="C53" i="5"/>
  <c r="T52" i="5"/>
  <c r="W52" i="5" s="1"/>
  <c r="Q52" i="5"/>
  <c r="O52" i="5"/>
  <c r="M52" i="5"/>
  <c r="N52" i="5" s="1"/>
  <c r="K52" i="5"/>
  <c r="J52" i="5"/>
  <c r="I52" i="5"/>
  <c r="H52" i="5"/>
  <c r="F52" i="5"/>
  <c r="E52" i="5"/>
  <c r="D52" i="5"/>
  <c r="C52" i="5"/>
  <c r="T51" i="5"/>
  <c r="W51" i="5" s="1"/>
  <c r="Q51" i="5"/>
  <c r="M51" i="5"/>
  <c r="K51" i="5"/>
  <c r="O51" i="5" s="1"/>
  <c r="J51" i="5"/>
  <c r="I51" i="5"/>
  <c r="H51" i="5"/>
  <c r="F51" i="5"/>
  <c r="E51" i="5"/>
  <c r="D51" i="5"/>
  <c r="C51" i="5"/>
  <c r="T50" i="5"/>
  <c r="W50" i="5" s="1"/>
  <c r="K50" i="5"/>
  <c r="O50" i="5" s="1"/>
  <c r="J50" i="5"/>
  <c r="Q50" i="5" s="1"/>
  <c r="I50" i="5"/>
  <c r="H50" i="5"/>
  <c r="F50" i="5"/>
  <c r="E50" i="5"/>
  <c r="D50" i="5"/>
  <c r="C50" i="5"/>
  <c r="T49" i="5"/>
  <c r="W49" i="5" s="1"/>
  <c r="O49" i="5"/>
  <c r="K49" i="5"/>
  <c r="J49" i="5"/>
  <c r="Q49" i="5" s="1"/>
  <c r="I49" i="5"/>
  <c r="H49" i="5"/>
  <c r="F49" i="5"/>
  <c r="E49" i="5"/>
  <c r="D49" i="5"/>
  <c r="C49" i="5"/>
  <c r="T48" i="5"/>
  <c r="W48" i="5" s="1"/>
  <c r="Q48" i="5"/>
  <c r="M48" i="5"/>
  <c r="K48" i="5"/>
  <c r="O48" i="5" s="1"/>
  <c r="J48" i="5"/>
  <c r="I48" i="5"/>
  <c r="H48" i="5"/>
  <c r="F48" i="5"/>
  <c r="E48" i="5"/>
  <c r="D48" i="5"/>
  <c r="C48" i="5"/>
  <c r="T47" i="5"/>
  <c r="W47" i="5" s="1"/>
  <c r="K47" i="5"/>
  <c r="O47" i="5" s="1"/>
  <c r="J47" i="5"/>
  <c r="Q47" i="5" s="1"/>
  <c r="I47" i="5"/>
  <c r="H47" i="5"/>
  <c r="F47" i="5"/>
  <c r="E47" i="5"/>
  <c r="D47" i="5"/>
  <c r="C47" i="5"/>
  <c r="T46" i="5"/>
  <c r="W46" i="5" s="1"/>
  <c r="O46" i="5"/>
  <c r="K46" i="5"/>
  <c r="J46" i="5"/>
  <c r="Q46" i="5" s="1"/>
  <c r="I46" i="5"/>
  <c r="H46" i="5"/>
  <c r="F46" i="5"/>
  <c r="E46" i="5"/>
  <c r="D46" i="5"/>
  <c r="C46" i="5"/>
  <c r="T45" i="5"/>
  <c r="W45" i="5" s="1"/>
  <c r="O45" i="5"/>
  <c r="K45" i="5"/>
  <c r="J45" i="5"/>
  <c r="Q45" i="5" s="1"/>
  <c r="I45" i="5"/>
  <c r="H45" i="5"/>
  <c r="F45" i="5"/>
  <c r="E45" i="5"/>
  <c r="D45" i="5"/>
  <c r="C45" i="5"/>
  <c r="T44" i="5"/>
  <c r="W44" i="5" s="1"/>
  <c r="O44" i="5"/>
  <c r="M44" i="5"/>
  <c r="N44" i="5" s="1"/>
  <c r="K44" i="5"/>
  <c r="J44" i="5"/>
  <c r="Q44" i="5" s="1"/>
  <c r="I44" i="5"/>
  <c r="H44" i="5"/>
  <c r="F44" i="5"/>
  <c r="E44" i="5"/>
  <c r="D44" i="5"/>
  <c r="C44" i="5"/>
  <c r="W43" i="5"/>
  <c r="T43" i="5"/>
  <c r="Q43" i="5"/>
  <c r="M43" i="5"/>
  <c r="P43" i="5" s="1"/>
  <c r="K43" i="5"/>
  <c r="O43" i="5" s="1"/>
  <c r="J43" i="5"/>
  <c r="I43" i="5"/>
  <c r="H43" i="5"/>
  <c r="F43" i="5"/>
  <c r="E43" i="5"/>
  <c r="D43" i="5"/>
  <c r="C43" i="5"/>
  <c r="W42" i="5"/>
  <c r="T42" i="5"/>
  <c r="K42" i="5"/>
  <c r="O42" i="5" s="1"/>
  <c r="J42" i="5"/>
  <c r="M42" i="5" s="1"/>
  <c r="I42" i="5"/>
  <c r="H42" i="5"/>
  <c r="F42" i="5"/>
  <c r="E42" i="5"/>
  <c r="D42" i="5"/>
  <c r="C42" i="5"/>
  <c r="T41" i="5"/>
  <c r="W41" i="5" s="1"/>
  <c r="O41" i="5"/>
  <c r="K41" i="5"/>
  <c r="J41" i="5"/>
  <c r="M41" i="5" s="1"/>
  <c r="I41" i="5"/>
  <c r="H41" i="5"/>
  <c r="F41" i="5"/>
  <c r="E41" i="5"/>
  <c r="D41" i="5"/>
  <c r="C41" i="5"/>
  <c r="T40" i="5"/>
  <c r="W40" i="5" s="1"/>
  <c r="Q40" i="5"/>
  <c r="O40" i="5"/>
  <c r="K40" i="5"/>
  <c r="J40" i="5"/>
  <c r="M40" i="5" s="1"/>
  <c r="I40" i="5"/>
  <c r="H40" i="5"/>
  <c r="F40" i="5"/>
  <c r="E40" i="5"/>
  <c r="D40" i="5"/>
  <c r="C40" i="5"/>
  <c r="W39" i="5"/>
  <c r="T39" i="5"/>
  <c r="Q39" i="5"/>
  <c r="P39" i="5"/>
  <c r="O39" i="5"/>
  <c r="M39" i="5"/>
  <c r="N39" i="5" s="1"/>
  <c r="K39" i="5"/>
  <c r="J39" i="5"/>
  <c r="I39" i="5"/>
  <c r="H39" i="5"/>
  <c r="F39" i="5"/>
  <c r="E39" i="5"/>
  <c r="D39" i="5"/>
  <c r="C39" i="5"/>
  <c r="W38" i="5"/>
  <c r="T38" i="5"/>
  <c r="Q38" i="5"/>
  <c r="O38" i="5"/>
  <c r="P38" i="5" s="1"/>
  <c r="M38" i="5"/>
  <c r="N38" i="5" s="1"/>
  <c r="K38" i="5"/>
  <c r="J38" i="5"/>
  <c r="I38" i="5"/>
  <c r="H38" i="5"/>
  <c r="F38" i="5"/>
  <c r="E38" i="5"/>
  <c r="D38" i="5"/>
  <c r="C38" i="5"/>
  <c r="W37" i="5"/>
  <c r="T37" i="5"/>
  <c r="Q37" i="5"/>
  <c r="O37" i="5"/>
  <c r="K37" i="5"/>
  <c r="J37" i="5"/>
  <c r="M37" i="5" s="1"/>
  <c r="I37" i="5"/>
  <c r="H37" i="5"/>
  <c r="F37" i="5"/>
  <c r="E37" i="5"/>
  <c r="D37" i="5"/>
  <c r="C37" i="5"/>
  <c r="T36" i="5"/>
  <c r="W36" i="5" s="1"/>
  <c r="Q36" i="5"/>
  <c r="O36" i="5"/>
  <c r="M36" i="5"/>
  <c r="N36" i="5" s="1"/>
  <c r="K36" i="5"/>
  <c r="J36" i="5"/>
  <c r="I36" i="5"/>
  <c r="H36" i="5"/>
  <c r="F36" i="5"/>
  <c r="E36" i="5"/>
  <c r="D36" i="5"/>
  <c r="C36" i="5"/>
  <c r="T35" i="5"/>
  <c r="W35" i="5" s="1"/>
  <c r="Q35" i="5"/>
  <c r="M35" i="5"/>
  <c r="P35" i="5" s="1"/>
  <c r="K35" i="5"/>
  <c r="O35" i="5" s="1"/>
  <c r="J35" i="5"/>
  <c r="I35" i="5"/>
  <c r="H35" i="5"/>
  <c r="F35" i="5"/>
  <c r="E35" i="5"/>
  <c r="D35" i="5"/>
  <c r="C35" i="5"/>
  <c r="T34" i="5"/>
  <c r="W34" i="5" s="1"/>
  <c r="K34" i="5"/>
  <c r="O34" i="5" s="1"/>
  <c r="J34" i="5"/>
  <c r="Q34" i="5" s="1"/>
  <c r="I34" i="5"/>
  <c r="H34" i="5"/>
  <c r="F34" i="5"/>
  <c r="E34" i="5"/>
  <c r="D34" i="5"/>
  <c r="C34" i="5"/>
  <c r="T33" i="5"/>
  <c r="W33" i="5" s="1"/>
  <c r="O33" i="5"/>
  <c r="K33" i="5"/>
  <c r="J33" i="5"/>
  <c r="Q33" i="5" s="1"/>
  <c r="I33" i="5"/>
  <c r="H33" i="5"/>
  <c r="F33" i="5"/>
  <c r="E33" i="5"/>
  <c r="D33" i="5"/>
  <c r="C33" i="5"/>
  <c r="W32" i="5"/>
  <c r="T32" i="5"/>
  <c r="Q32" i="5"/>
  <c r="M32" i="5"/>
  <c r="P32" i="5" s="1"/>
  <c r="K32" i="5"/>
  <c r="O32" i="5" s="1"/>
  <c r="J32" i="5"/>
  <c r="I32" i="5"/>
  <c r="H32" i="5"/>
  <c r="F32" i="5"/>
  <c r="E32" i="5"/>
  <c r="D32" i="5"/>
  <c r="C32" i="5"/>
  <c r="W31" i="5"/>
  <c r="T31" i="5"/>
  <c r="K31" i="5"/>
  <c r="O31" i="5" s="1"/>
  <c r="J31" i="5"/>
  <c r="Q31" i="5" s="1"/>
  <c r="I31" i="5"/>
  <c r="H31" i="5"/>
  <c r="F31" i="5"/>
  <c r="E31" i="5"/>
  <c r="D31" i="5"/>
  <c r="C31" i="5"/>
  <c r="T30" i="5"/>
  <c r="W30" i="5" s="1"/>
  <c r="O30" i="5"/>
  <c r="K30" i="5"/>
  <c r="J30" i="5"/>
  <c r="Q30" i="5" s="1"/>
  <c r="I30" i="5"/>
  <c r="H30" i="5"/>
  <c r="F30" i="5"/>
  <c r="E30" i="5"/>
  <c r="D30" i="5"/>
  <c r="C30" i="5"/>
  <c r="T29" i="5"/>
  <c r="W29" i="5" s="1"/>
  <c r="O29" i="5"/>
  <c r="K29" i="5"/>
  <c r="J29" i="5"/>
  <c r="Q29" i="5" s="1"/>
  <c r="I29" i="5"/>
  <c r="H29" i="5"/>
  <c r="F29" i="5"/>
  <c r="E29" i="5"/>
  <c r="D29" i="5"/>
  <c r="C29" i="5"/>
  <c r="T28" i="5"/>
  <c r="W28" i="5" s="1"/>
  <c r="O28" i="5"/>
  <c r="M28" i="5"/>
  <c r="P28" i="5" s="1"/>
  <c r="K28" i="5"/>
  <c r="J28" i="5"/>
  <c r="Q28" i="5" s="1"/>
  <c r="I28" i="5"/>
  <c r="H28" i="5"/>
  <c r="F28" i="5"/>
  <c r="E28" i="5"/>
  <c r="D28" i="5"/>
  <c r="C28" i="5"/>
  <c r="T27" i="5"/>
  <c r="W27" i="5" s="1"/>
  <c r="Q27" i="5"/>
  <c r="M27" i="5"/>
  <c r="K27" i="5"/>
  <c r="O27" i="5" s="1"/>
  <c r="J27" i="5"/>
  <c r="I27" i="5"/>
  <c r="H27" i="5"/>
  <c r="F27" i="5"/>
  <c r="E27" i="5"/>
  <c r="D27" i="5"/>
  <c r="C27" i="5"/>
  <c r="T26" i="5"/>
  <c r="W26" i="5" s="1"/>
  <c r="K26" i="5"/>
  <c r="O26" i="5" s="1"/>
  <c r="J26" i="5"/>
  <c r="M26" i="5" s="1"/>
  <c r="I26" i="5"/>
  <c r="H26" i="5"/>
  <c r="F26" i="5"/>
  <c r="E26" i="5"/>
  <c r="D26" i="5"/>
  <c r="C26" i="5"/>
  <c r="T25" i="5"/>
  <c r="W25" i="5" s="1"/>
  <c r="O25" i="5"/>
  <c r="K25" i="5"/>
  <c r="J25" i="5"/>
  <c r="M25" i="5" s="1"/>
  <c r="I25" i="5"/>
  <c r="H25" i="5"/>
  <c r="F25" i="5"/>
  <c r="E25" i="5"/>
  <c r="D25" i="5"/>
  <c r="C25" i="5"/>
  <c r="T24" i="5"/>
  <c r="W24" i="5" s="1"/>
  <c r="Q24" i="5"/>
  <c r="O24" i="5"/>
  <c r="K24" i="5"/>
  <c r="J24" i="5"/>
  <c r="M24" i="5" s="1"/>
  <c r="I24" i="5"/>
  <c r="H24" i="5"/>
  <c r="F24" i="5"/>
  <c r="E24" i="5"/>
  <c r="D24" i="5"/>
  <c r="C24" i="5"/>
  <c r="W23" i="5"/>
  <c r="T23" i="5"/>
  <c r="Q23" i="5"/>
  <c r="M23" i="5"/>
  <c r="N23" i="5" s="1"/>
  <c r="K23" i="5"/>
  <c r="O23" i="5" s="1"/>
  <c r="P23" i="5" s="1"/>
  <c r="J23" i="5"/>
  <c r="I23" i="5"/>
  <c r="H23" i="5"/>
  <c r="F23" i="5"/>
  <c r="E23" i="5"/>
  <c r="D23" i="5"/>
  <c r="C23" i="5"/>
  <c r="T22" i="5"/>
  <c r="W22" i="5" s="1"/>
  <c r="O22" i="5"/>
  <c r="P22" i="5" s="1"/>
  <c r="M22" i="5"/>
  <c r="N22" i="5" s="1"/>
  <c r="K22" i="5"/>
  <c r="J22" i="5"/>
  <c r="Q22" i="5" s="1"/>
  <c r="I22" i="5"/>
  <c r="H22" i="5"/>
  <c r="F22" i="5"/>
  <c r="E22" i="5"/>
  <c r="D22" i="5"/>
  <c r="C22" i="5"/>
  <c r="T21" i="5"/>
  <c r="W21" i="5" s="1"/>
  <c r="Q21" i="5"/>
  <c r="O21" i="5"/>
  <c r="K21" i="5"/>
  <c r="J21" i="5"/>
  <c r="M21" i="5" s="1"/>
  <c r="I21" i="5"/>
  <c r="H21" i="5"/>
  <c r="F21" i="5"/>
  <c r="E21" i="5"/>
  <c r="D21" i="5"/>
  <c r="C21" i="5"/>
  <c r="W20" i="5"/>
  <c r="T20" i="5"/>
  <c r="Q20" i="5"/>
  <c r="M20" i="5"/>
  <c r="N20" i="5" s="1"/>
  <c r="K20" i="5"/>
  <c r="O20" i="5" s="1"/>
  <c r="J20" i="5"/>
  <c r="I20" i="5"/>
  <c r="H20" i="5"/>
  <c r="F20" i="5"/>
  <c r="E20" i="5"/>
  <c r="D20" i="5"/>
  <c r="C20" i="5"/>
  <c r="W19" i="5"/>
  <c r="T19" i="5"/>
  <c r="Q19" i="5"/>
  <c r="M19" i="5"/>
  <c r="K19" i="5"/>
  <c r="O19" i="5" s="1"/>
  <c r="J19" i="5"/>
  <c r="I19" i="5"/>
  <c r="H19" i="5"/>
  <c r="F19" i="5"/>
  <c r="E19" i="5"/>
  <c r="D19" i="5"/>
  <c r="C19" i="5"/>
  <c r="W18" i="5"/>
  <c r="T18" i="5"/>
  <c r="K18" i="5"/>
  <c r="O18" i="5" s="1"/>
  <c r="J18" i="5"/>
  <c r="Q18" i="5" s="1"/>
  <c r="I18" i="5"/>
  <c r="H18" i="5"/>
  <c r="F18" i="5"/>
  <c r="E18" i="5"/>
  <c r="D18" i="5"/>
  <c r="C18" i="5"/>
  <c r="T17" i="5"/>
  <c r="W17" i="5" s="1"/>
  <c r="O17" i="5"/>
  <c r="K17" i="5"/>
  <c r="J17" i="5"/>
  <c r="Q17" i="5" s="1"/>
  <c r="I17" i="5"/>
  <c r="H17" i="5"/>
  <c r="F17" i="5"/>
  <c r="E17" i="5"/>
  <c r="D17" i="5"/>
  <c r="C17" i="5"/>
  <c r="T16" i="5"/>
  <c r="W16" i="5" s="1"/>
  <c r="Q16" i="5"/>
  <c r="M16" i="5"/>
  <c r="K16" i="5"/>
  <c r="O16" i="5" s="1"/>
  <c r="J16" i="5"/>
  <c r="I16" i="5"/>
  <c r="H16" i="5"/>
  <c r="F16" i="5"/>
  <c r="E16" i="5"/>
  <c r="D16" i="5"/>
  <c r="C16" i="5"/>
  <c r="W15" i="5"/>
  <c r="T15" i="5"/>
  <c r="K15" i="5"/>
  <c r="O15" i="5" s="1"/>
  <c r="J15" i="5"/>
  <c r="Q15" i="5" s="1"/>
  <c r="I15" i="5"/>
  <c r="H15" i="5"/>
  <c r="F15" i="5"/>
  <c r="E15" i="5"/>
  <c r="D15" i="5"/>
  <c r="C15" i="5"/>
  <c r="W14" i="5"/>
  <c r="T14" i="5"/>
  <c r="O14" i="5"/>
  <c r="K14" i="5"/>
  <c r="J14" i="5"/>
  <c r="Q14" i="5" s="1"/>
  <c r="I14" i="5"/>
  <c r="H14" i="5"/>
  <c r="F14" i="5"/>
  <c r="E14" i="5"/>
  <c r="D14" i="5"/>
  <c r="C14" i="5"/>
  <c r="T13" i="5"/>
  <c r="W13" i="5" s="1"/>
  <c r="O13" i="5"/>
  <c r="K13" i="5"/>
  <c r="J13" i="5"/>
  <c r="Q13" i="5" s="1"/>
  <c r="I13" i="5"/>
  <c r="H13" i="5"/>
  <c r="F13" i="5"/>
  <c r="E13" i="5"/>
  <c r="D13" i="5"/>
  <c r="I31" i="10" s="1"/>
  <c r="J31" i="10" s="1"/>
  <c r="C13" i="5"/>
  <c r="T12" i="5"/>
  <c r="W12" i="5" s="1"/>
  <c r="O12" i="5"/>
  <c r="M12" i="5"/>
  <c r="N12" i="5" s="1"/>
  <c r="K12" i="5"/>
  <c r="J12" i="5"/>
  <c r="Q12" i="5" s="1"/>
  <c r="I12" i="5"/>
  <c r="H12" i="5"/>
  <c r="F12" i="5"/>
  <c r="E12" i="5"/>
  <c r="D12" i="5"/>
  <c r="C12" i="5"/>
  <c r="T11" i="5"/>
  <c r="W11" i="5" s="1"/>
  <c r="Q11" i="5"/>
  <c r="M11" i="5"/>
  <c r="P11" i="5" s="1"/>
  <c r="K11" i="5"/>
  <c r="O11" i="5" s="1"/>
  <c r="J11" i="5"/>
  <c r="I11" i="5"/>
  <c r="H11" i="5"/>
  <c r="F11" i="5"/>
  <c r="E11" i="5"/>
  <c r="D11" i="5"/>
  <c r="C11" i="5"/>
  <c r="T10" i="5"/>
  <c r="W10" i="5" s="1"/>
  <c r="K10" i="5"/>
  <c r="O10" i="5" s="1"/>
  <c r="J10" i="5"/>
  <c r="M10" i="5" s="1"/>
  <c r="I10" i="5"/>
  <c r="H10" i="5"/>
  <c r="F10" i="5"/>
  <c r="E10" i="5"/>
  <c r="D10" i="5"/>
  <c r="C10" i="5"/>
  <c r="T9" i="5"/>
  <c r="W9" i="5" s="1"/>
  <c r="O9" i="5"/>
  <c r="K9" i="5"/>
  <c r="J9" i="5"/>
  <c r="M9" i="5" s="1"/>
  <c r="I9" i="5"/>
  <c r="H9" i="5"/>
  <c r="F9" i="5"/>
  <c r="E9" i="5"/>
  <c r="D9" i="5"/>
  <c r="C9" i="5"/>
  <c r="W8" i="5"/>
  <c r="T8" i="5"/>
  <c r="Q8" i="5"/>
  <c r="O8" i="5"/>
  <c r="K8" i="5"/>
  <c r="J8" i="5"/>
  <c r="M8" i="5" s="1"/>
  <c r="I8" i="5"/>
  <c r="H8" i="5"/>
  <c r="F8" i="5"/>
  <c r="E8" i="5"/>
  <c r="D8" i="5"/>
  <c r="C8" i="5"/>
  <c r="W7" i="5"/>
  <c r="T7" i="5"/>
  <c r="Q7" i="5"/>
  <c r="M7" i="5"/>
  <c r="N7" i="5" s="1"/>
  <c r="K7" i="5"/>
  <c r="O7" i="5" s="1"/>
  <c r="P7" i="5" s="1"/>
  <c r="J7" i="5"/>
  <c r="I7" i="5"/>
  <c r="H7" i="5"/>
  <c r="F7" i="5"/>
  <c r="E7" i="5"/>
  <c r="D7" i="5"/>
  <c r="C7" i="5"/>
  <c r="T6" i="5"/>
  <c r="W6" i="5" s="1"/>
  <c r="O6" i="5"/>
  <c r="P6" i="5" s="1"/>
  <c r="M6" i="5"/>
  <c r="N6" i="5" s="1"/>
  <c r="K6" i="5"/>
  <c r="J6" i="5"/>
  <c r="Q6" i="5" s="1"/>
  <c r="I6" i="5"/>
  <c r="H6" i="5"/>
  <c r="F6" i="5"/>
  <c r="E6" i="5"/>
  <c r="D6" i="5"/>
  <c r="C6" i="5"/>
  <c r="T5" i="5"/>
  <c r="W5" i="5" s="1"/>
  <c r="Q5" i="5"/>
  <c r="O5" i="5"/>
  <c r="K5" i="5"/>
  <c r="J5" i="5"/>
  <c r="M5" i="5" s="1"/>
  <c r="I5" i="5"/>
  <c r="H5" i="5"/>
  <c r="F5" i="5"/>
  <c r="E5" i="5"/>
  <c r="D5" i="5"/>
  <c r="C5" i="5"/>
  <c r="T4" i="5"/>
  <c r="W4" i="5" s="1"/>
  <c r="Q4" i="5"/>
  <c r="O4" i="5"/>
  <c r="M4" i="5"/>
  <c r="P4" i="5" s="1"/>
  <c r="K4" i="5"/>
  <c r="J4" i="5"/>
  <c r="I4" i="5"/>
  <c r="H4" i="5"/>
  <c r="F4" i="5"/>
  <c r="E4" i="5"/>
  <c r="D4" i="5"/>
  <c r="C4" i="5"/>
  <c r="T3" i="5"/>
  <c r="W3" i="5" s="1"/>
  <c r="Q3" i="5"/>
  <c r="M3" i="5"/>
  <c r="K3" i="5"/>
  <c r="O3" i="5" s="1"/>
  <c r="J3" i="5"/>
  <c r="I3" i="5"/>
  <c r="H3" i="5"/>
  <c r="F3" i="5"/>
  <c r="E3" i="5"/>
  <c r="D3" i="5"/>
  <c r="C3" i="5"/>
  <c r="W2" i="5"/>
  <c r="T2" i="5"/>
  <c r="K2" i="5"/>
  <c r="O2" i="5" s="1"/>
  <c r="J2" i="5"/>
  <c r="Q2" i="5" s="1"/>
  <c r="I2" i="5"/>
  <c r="H2" i="5"/>
  <c r="F2" i="5"/>
  <c r="E2" i="5"/>
  <c r="D2" i="5"/>
  <c r="I22" i="10" s="1"/>
  <c r="C2" i="5"/>
  <c r="P26" i="5" l="1"/>
  <c r="N26" i="5"/>
  <c r="P10" i="5"/>
  <c r="N10" i="5"/>
  <c r="P42" i="5"/>
  <c r="N42" i="5"/>
  <c r="P51" i="5"/>
  <c r="P107" i="5"/>
  <c r="P48" i="5"/>
  <c r="J22" i="10"/>
  <c r="P16" i="5"/>
  <c r="P3" i="5"/>
  <c r="P82" i="5"/>
  <c r="N82" i="5"/>
  <c r="P85" i="5"/>
  <c r="P58" i="5"/>
  <c r="N58" i="5"/>
  <c r="P19" i="5"/>
  <c r="N25" i="5"/>
  <c r="P25" i="5"/>
  <c r="P37" i="5"/>
  <c r="N37" i="5"/>
  <c r="P53" i="5"/>
  <c r="N53" i="5"/>
  <c r="P57" i="5"/>
  <c r="N57" i="5"/>
  <c r="N41" i="5"/>
  <c r="P41" i="5"/>
  <c r="N9" i="5"/>
  <c r="P9" i="5"/>
  <c r="P72" i="5"/>
  <c r="N21" i="5"/>
  <c r="P21" i="5"/>
  <c r="P126" i="5"/>
  <c r="N126" i="5"/>
  <c r="N5" i="5"/>
  <c r="P5" i="5"/>
  <c r="N24" i="5"/>
  <c r="P24" i="5"/>
  <c r="P8" i="5"/>
  <c r="N8" i="5"/>
  <c r="P27" i="5"/>
  <c r="N56" i="5"/>
  <c r="P56" i="5"/>
  <c r="P40" i="5"/>
  <c r="N40" i="5"/>
  <c r="Q10" i="5"/>
  <c r="Q26" i="5"/>
  <c r="Q42" i="5"/>
  <c r="Q58" i="5"/>
  <c r="P66" i="5"/>
  <c r="Q9" i="5"/>
  <c r="B7" i="11" s="1"/>
  <c r="Q25" i="5"/>
  <c r="Q41" i="5"/>
  <c r="Q57" i="5"/>
  <c r="N66" i="5"/>
  <c r="M76" i="5"/>
  <c r="Q82" i="5"/>
  <c r="Q95" i="5"/>
  <c r="I8" i="10" s="1"/>
  <c r="J8" i="10" s="1"/>
  <c r="M95" i="5"/>
  <c r="P102" i="5"/>
  <c r="P118" i="5"/>
  <c r="N118" i="5"/>
  <c r="M124" i="5"/>
  <c r="P162" i="5"/>
  <c r="N162" i="5"/>
  <c r="Q198" i="5"/>
  <c r="M198" i="5"/>
  <c r="I38" i="10"/>
  <c r="J38" i="10" s="1"/>
  <c r="G10" i="11"/>
  <c r="M2" i="5"/>
  <c r="N3" i="5"/>
  <c r="M18" i="5"/>
  <c r="N19" i="5"/>
  <c r="M34" i="5"/>
  <c r="N35" i="5"/>
  <c r="M50" i="5"/>
  <c r="N51" i="5"/>
  <c r="M65" i="5"/>
  <c r="M74" i="5"/>
  <c r="P81" i="5"/>
  <c r="M87" i="5"/>
  <c r="N100" i="5"/>
  <c r="M108" i="5"/>
  <c r="Q133" i="5"/>
  <c r="M133" i="5"/>
  <c r="Q165" i="5"/>
  <c r="M165" i="5"/>
  <c r="N169" i="5"/>
  <c r="H10" i="11"/>
  <c r="P52" i="5"/>
  <c r="M80" i="5"/>
  <c r="B31" i="11" s="1"/>
  <c r="M122" i="5"/>
  <c r="P138" i="5"/>
  <c r="Q150" i="5"/>
  <c r="P263" i="5"/>
  <c r="N263" i="5"/>
  <c r="I39" i="10"/>
  <c r="J39" i="10" s="1"/>
  <c r="P128" i="5"/>
  <c r="N128" i="5"/>
  <c r="N137" i="5"/>
  <c r="P142" i="5"/>
  <c r="N142" i="5"/>
  <c r="P146" i="5"/>
  <c r="N146" i="5"/>
  <c r="Q230" i="5"/>
  <c r="M230" i="5"/>
  <c r="P247" i="5"/>
  <c r="N247" i="5"/>
  <c r="M17" i="5"/>
  <c r="P20" i="5"/>
  <c r="M33" i="5"/>
  <c r="Q117" i="5"/>
  <c r="I7" i="10" s="1"/>
  <c r="J7" i="10" s="1"/>
  <c r="M117" i="5"/>
  <c r="M15" i="5"/>
  <c r="N16" i="5"/>
  <c r="M31" i="5"/>
  <c r="N32" i="5"/>
  <c r="M47" i="5"/>
  <c r="N48" i="5"/>
  <c r="M63" i="5"/>
  <c r="M71" i="5"/>
  <c r="N72" i="5"/>
  <c r="Q79" i="5"/>
  <c r="I25" i="10" s="1"/>
  <c r="J25" i="10" s="1"/>
  <c r="M79" i="5"/>
  <c r="N99" i="5"/>
  <c r="N107" i="5"/>
  <c r="P121" i="5"/>
  <c r="N153" i="5"/>
  <c r="N168" i="5"/>
  <c r="N185" i="5"/>
  <c r="I6" i="10"/>
  <c r="J6" i="10" s="1"/>
  <c r="P114" i="5"/>
  <c r="N114" i="5"/>
  <c r="N73" i="5"/>
  <c r="M30" i="5"/>
  <c r="M46" i="5"/>
  <c r="M62" i="5"/>
  <c r="M70" i="5"/>
  <c r="N85" i="5"/>
  <c r="P86" i="5"/>
  <c r="M98" i="5"/>
  <c r="M106" i="5"/>
  <c r="N121" i="5"/>
  <c r="M136" i="5"/>
  <c r="N201" i="5"/>
  <c r="P231" i="5"/>
  <c r="N231" i="5"/>
  <c r="P36" i="5"/>
  <c r="M49" i="5"/>
  <c r="P64" i="5"/>
  <c r="P94" i="5"/>
  <c r="N94" i="5"/>
  <c r="M14" i="5"/>
  <c r="M13" i="5"/>
  <c r="M29" i="5"/>
  <c r="M45" i="5"/>
  <c r="M61" i="5"/>
  <c r="M84" i="5"/>
  <c r="M112" i="5"/>
  <c r="P132" i="5"/>
  <c r="N132" i="5"/>
  <c r="Q142" i="5"/>
  <c r="Q149" i="5"/>
  <c r="I27" i="10" s="1"/>
  <c r="M149" i="5"/>
  <c r="Q160" i="5"/>
  <c r="M160" i="5"/>
  <c r="P164" i="5"/>
  <c r="N184" i="5"/>
  <c r="N216" i="5"/>
  <c r="Q246" i="5"/>
  <c r="I21" i="10" s="1"/>
  <c r="J21" i="10" s="1"/>
  <c r="M246" i="5"/>
  <c r="G6" i="11"/>
  <c r="I14" i="10"/>
  <c r="J14" i="10" s="1"/>
  <c r="H6" i="11"/>
  <c r="D24" i="11"/>
  <c r="P150" i="5"/>
  <c r="N150" i="5"/>
  <c r="B9" i="11"/>
  <c r="N28" i="5"/>
  <c r="N60" i="5"/>
  <c r="N69" i="5"/>
  <c r="Q85" i="5"/>
  <c r="P104" i="5"/>
  <c r="Q111" i="5"/>
  <c r="I36" i="10" s="1"/>
  <c r="J36" i="10" s="1"/>
  <c r="M111" i="5"/>
  <c r="P116" i="5"/>
  <c r="N116" i="5"/>
  <c r="N120" i="5"/>
  <c r="N152" i="5"/>
  <c r="P167" i="5"/>
  <c r="N167" i="5"/>
  <c r="N59" i="5"/>
  <c r="N68" i="5"/>
  <c r="M78" i="5"/>
  <c r="M97" i="5"/>
  <c r="N104" i="5"/>
  <c r="I15" i="10"/>
  <c r="N4" i="5"/>
  <c r="N43" i="5"/>
  <c r="P12" i="5"/>
  <c r="P44" i="5"/>
  <c r="P92" i="5"/>
  <c r="M103" i="5"/>
  <c r="M135" i="5"/>
  <c r="P183" i="5"/>
  <c r="N183" i="5"/>
  <c r="P215" i="5"/>
  <c r="N215" i="5"/>
  <c r="N233" i="5"/>
  <c r="D28" i="11"/>
  <c r="N11" i="5"/>
  <c r="N27" i="5"/>
  <c r="I37" i="10"/>
  <c r="J37" i="10" s="1"/>
  <c r="I29" i="10"/>
  <c r="J29" i="10" s="1"/>
  <c r="I13" i="10"/>
  <c r="J13" i="10" s="1"/>
  <c r="I5" i="10"/>
  <c r="J5" i="10" s="1"/>
  <c r="H9" i="11"/>
  <c r="I20" i="10"/>
  <c r="J20" i="10" s="1"/>
  <c r="I4" i="10"/>
  <c r="J4" i="10" s="1"/>
  <c r="G9" i="11"/>
  <c r="H7" i="11"/>
  <c r="I35" i="10"/>
  <c r="J35" i="10" s="1"/>
  <c r="I19" i="10"/>
  <c r="J19" i="10" s="1"/>
  <c r="I11" i="10"/>
  <c r="J11" i="10" s="1"/>
  <c r="I3" i="10"/>
  <c r="J3" i="10" s="1"/>
  <c r="G7" i="11"/>
  <c r="H5" i="11"/>
  <c r="I34" i="10"/>
  <c r="J34" i="10" s="1"/>
  <c r="I26" i="10"/>
  <c r="J26" i="10" s="1"/>
  <c r="I18" i="10"/>
  <c r="J18" i="10" s="1"/>
  <c r="I10" i="10"/>
  <c r="J10" i="10" s="1"/>
  <c r="I2" i="10"/>
  <c r="E7" i="11"/>
  <c r="G5" i="11"/>
  <c r="I33" i="10"/>
  <c r="I17" i="10"/>
  <c r="J17" i="10" s="1"/>
  <c r="I9" i="10"/>
  <c r="I32" i="10"/>
  <c r="J32" i="10" s="1"/>
  <c r="I24" i="10"/>
  <c r="J24" i="10" s="1"/>
  <c r="I16" i="10"/>
  <c r="J16" i="10" s="1"/>
  <c r="H8" i="11"/>
  <c r="M67" i="5"/>
  <c r="P140" i="5"/>
  <c r="M144" i="5"/>
  <c r="P148" i="5"/>
  <c r="P156" i="5"/>
  <c r="P166" i="5"/>
  <c r="N166" i="5"/>
  <c r="P199" i="5"/>
  <c r="N199" i="5"/>
  <c r="P256" i="5"/>
  <c r="N88" i="5"/>
  <c r="P96" i="5"/>
  <c r="N96" i="5"/>
  <c r="P130" i="5"/>
  <c r="N130" i="5"/>
  <c r="P134" i="5"/>
  <c r="N134" i="5"/>
  <c r="P171" i="5"/>
  <c r="N232" i="5"/>
  <c r="P249" i="5"/>
  <c r="I23" i="10"/>
  <c r="J23" i="10" s="1"/>
  <c r="E35" i="11"/>
  <c r="E31" i="11"/>
  <c r="E27" i="11"/>
  <c r="E23" i="11"/>
  <c r="D35" i="11"/>
  <c r="D31" i="11"/>
  <c r="D27" i="11"/>
  <c r="D23" i="11"/>
  <c r="B35" i="11"/>
  <c r="B23" i="11"/>
  <c r="E34" i="11"/>
  <c r="E30" i="11"/>
  <c r="E26" i="11"/>
  <c r="E22" i="11"/>
  <c r="D34" i="11"/>
  <c r="D30" i="11"/>
  <c r="D26" i="11"/>
  <c r="D22" i="11"/>
  <c r="B34" i="11"/>
  <c r="B26" i="11"/>
  <c r="E33" i="11"/>
  <c r="E29" i="11"/>
  <c r="E25" i="11"/>
  <c r="E21" i="11"/>
  <c r="D33" i="11"/>
  <c r="D29" i="11"/>
  <c r="D25" i="11"/>
  <c r="D21" i="11"/>
  <c r="B33" i="11"/>
  <c r="E32" i="11"/>
  <c r="E28" i="11"/>
  <c r="E24" i="11"/>
  <c r="P110" i="5"/>
  <c r="N110" i="5"/>
  <c r="P119" i="5"/>
  <c r="P151" i="5"/>
  <c r="N151" i="5"/>
  <c r="Q182" i="5"/>
  <c r="I12" i="10" s="1"/>
  <c r="J12" i="10" s="1"/>
  <c r="M182" i="5"/>
  <c r="Q214" i="5"/>
  <c r="I28" i="10" s="1"/>
  <c r="J28" i="10" s="1"/>
  <c r="M214" i="5"/>
  <c r="L7" i="11"/>
  <c r="N7" i="11" s="1"/>
  <c r="K7" i="11"/>
  <c r="I30" i="10"/>
  <c r="J30" i="10" s="1"/>
  <c r="G8" i="11"/>
  <c r="D32" i="11"/>
  <c r="N262" i="5"/>
  <c r="K8" i="11"/>
  <c r="N148" i="5"/>
  <c r="N164" i="5"/>
  <c r="N180" i="5"/>
  <c r="M195" i="5"/>
  <c r="N196" i="5"/>
  <c r="M211" i="5"/>
  <c r="N212" i="5"/>
  <c r="M227" i="5"/>
  <c r="M243" i="5"/>
  <c r="N244" i="5"/>
  <c r="N260" i="5"/>
  <c r="M258" i="5"/>
  <c r="N178" i="5"/>
  <c r="N194" i="5"/>
  <c r="N210" i="5"/>
  <c r="N226" i="5"/>
  <c r="N242" i="5"/>
  <c r="M176" i="5"/>
  <c r="M192" i="5"/>
  <c r="B30" i="11" s="1"/>
  <c r="M208" i="5"/>
  <c r="M224" i="5"/>
  <c r="B29" i="11" s="1"/>
  <c r="M240" i="5"/>
  <c r="K5" i="11"/>
  <c r="M127" i="5"/>
  <c r="M143" i="5"/>
  <c r="M159" i="5"/>
  <c r="M175" i="5"/>
  <c r="M191" i="5"/>
  <c r="M207" i="5"/>
  <c r="M223" i="5"/>
  <c r="M239" i="5"/>
  <c r="M255" i="5"/>
  <c r="N256" i="5"/>
  <c r="M158" i="5"/>
  <c r="M174" i="5"/>
  <c r="M190" i="5"/>
  <c r="M206" i="5"/>
  <c r="E10" i="11" s="1"/>
  <c r="M222" i="5"/>
  <c r="M238" i="5"/>
  <c r="N254" i="5"/>
  <c r="M16" i="11" l="1"/>
  <c r="O16" i="11" s="1"/>
  <c r="J27" i="10"/>
  <c r="L16" i="11" s="1"/>
  <c r="P175" i="5"/>
  <c r="N175" i="5"/>
  <c r="P111" i="5"/>
  <c r="N111" i="5"/>
  <c r="P246" i="5"/>
  <c r="N246" i="5"/>
  <c r="P29" i="5"/>
  <c r="N29" i="5"/>
  <c r="P79" i="5"/>
  <c r="N79" i="5"/>
  <c r="P122" i="5"/>
  <c r="N122" i="5"/>
  <c r="P50" i="5"/>
  <c r="N50" i="5"/>
  <c r="P238" i="5"/>
  <c r="N238" i="5"/>
  <c r="P182" i="5"/>
  <c r="N182" i="5"/>
  <c r="P46" i="5"/>
  <c r="N46" i="5"/>
  <c r="P63" i="5"/>
  <c r="C27" i="11" s="1"/>
  <c r="N63" i="5"/>
  <c r="N18" i="5"/>
  <c r="P18" i="5"/>
  <c r="C28" i="11" s="1"/>
  <c r="N76" i="5"/>
  <c r="P76" i="5"/>
  <c r="P223" i="5"/>
  <c r="N223" i="5"/>
  <c r="P159" i="5"/>
  <c r="N159" i="5"/>
  <c r="P70" i="5"/>
  <c r="N70" i="5"/>
  <c r="P230" i="5"/>
  <c r="N230" i="5"/>
  <c r="P34" i="5"/>
  <c r="N34" i="5"/>
  <c r="P127" i="5"/>
  <c r="N127" i="5"/>
  <c r="P227" i="5"/>
  <c r="N227" i="5"/>
  <c r="P144" i="5"/>
  <c r="N144" i="5"/>
  <c r="P222" i="5"/>
  <c r="N222" i="5"/>
  <c r="P240" i="5"/>
  <c r="C35" i="11" s="1"/>
  <c r="N240" i="5"/>
  <c r="P211" i="5"/>
  <c r="N211" i="5"/>
  <c r="N67" i="5"/>
  <c r="P67" i="5"/>
  <c r="P97" i="5"/>
  <c r="N97" i="5"/>
  <c r="P160" i="5"/>
  <c r="C33" i="11" s="1"/>
  <c r="N160" i="5"/>
  <c r="P30" i="5"/>
  <c r="N30" i="5"/>
  <c r="N165" i="5"/>
  <c r="P165" i="5"/>
  <c r="L15" i="11"/>
  <c r="P13" i="5"/>
  <c r="N13" i="5"/>
  <c r="P80" i="5"/>
  <c r="C31" i="11" s="1"/>
  <c r="N80" i="5"/>
  <c r="P143" i="5"/>
  <c r="N143" i="5"/>
  <c r="P14" i="5"/>
  <c r="N14" i="5"/>
  <c r="P206" i="5"/>
  <c r="N206" i="5"/>
  <c r="P224" i="5"/>
  <c r="N224" i="5"/>
  <c r="P78" i="5"/>
  <c r="N78" i="5"/>
  <c r="P49" i="5"/>
  <c r="C29" i="11" s="1"/>
  <c r="N49" i="5"/>
  <c r="P47" i="5"/>
  <c r="C34" i="11" s="1"/>
  <c r="N47" i="5"/>
  <c r="P2" i="5"/>
  <c r="N2" i="5"/>
  <c r="M15" i="11"/>
  <c r="O15" i="11" s="1"/>
  <c r="N95" i="5"/>
  <c r="P95" i="5"/>
  <c r="J15" i="10"/>
  <c r="L14" i="11" s="1"/>
  <c r="M14" i="11"/>
  <c r="O14" i="11" s="1"/>
  <c r="P62" i="5"/>
  <c r="C22" i="11" s="1"/>
  <c r="N62" i="5"/>
  <c r="P190" i="5"/>
  <c r="N190" i="5"/>
  <c r="N149" i="5"/>
  <c r="P149" i="5"/>
  <c r="P133" i="5"/>
  <c r="N133" i="5"/>
  <c r="P239" i="5"/>
  <c r="N239" i="5"/>
  <c r="P243" i="5"/>
  <c r="N243" i="5"/>
  <c r="P214" i="5"/>
  <c r="N214" i="5"/>
  <c r="J2" i="10"/>
  <c r="M12" i="11"/>
  <c r="O12" i="11" s="1"/>
  <c r="P71" i="5"/>
  <c r="N71" i="5"/>
  <c r="P208" i="5"/>
  <c r="N208" i="5"/>
  <c r="P195" i="5"/>
  <c r="N195" i="5"/>
  <c r="P174" i="5"/>
  <c r="N174" i="5"/>
  <c r="P192" i="5"/>
  <c r="N192" i="5"/>
  <c r="P31" i="5"/>
  <c r="N31" i="5"/>
  <c r="P158" i="5"/>
  <c r="N158" i="5"/>
  <c r="P176" i="5"/>
  <c r="N176" i="5"/>
  <c r="B28" i="11"/>
  <c r="N108" i="5"/>
  <c r="P108" i="5"/>
  <c r="P198" i="5"/>
  <c r="N198" i="5"/>
  <c r="B32" i="11"/>
  <c r="B24" i="11"/>
  <c r="P15" i="5"/>
  <c r="C23" i="11" s="1"/>
  <c r="N15" i="5"/>
  <c r="E8" i="11"/>
  <c r="E5" i="11"/>
  <c r="E9" i="11"/>
  <c r="N135" i="5"/>
  <c r="P135" i="5"/>
  <c r="P117" i="5"/>
  <c r="N117" i="5"/>
  <c r="P87" i="5"/>
  <c r="N87" i="5"/>
  <c r="M13" i="11"/>
  <c r="O13" i="11" s="1"/>
  <c r="J9" i="10"/>
  <c r="L13" i="11" s="1"/>
  <c r="P103" i="5"/>
  <c r="N103" i="5"/>
  <c r="P112" i="5"/>
  <c r="N112" i="5"/>
  <c r="P136" i="5"/>
  <c r="N136" i="5"/>
  <c r="P84" i="5"/>
  <c r="N84" i="5"/>
  <c r="P33" i="5"/>
  <c r="N33" i="5"/>
  <c r="P74" i="5"/>
  <c r="N74" i="5"/>
  <c r="N124" i="5"/>
  <c r="P124" i="5"/>
  <c r="P255" i="5"/>
  <c r="N255" i="5"/>
  <c r="B21" i="11"/>
  <c r="B22" i="11"/>
  <c r="P61" i="5"/>
  <c r="F6" i="11" s="1"/>
  <c r="N61" i="5"/>
  <c r="P106" i="5"/>
  <c r="N106" i="5"/>
  <c r="P65" i="5"/>
  <c r="N65" i="5"/>
  <c r="P207" i="5"/>
  <c r="N207" i="5"/>
  <c r="P191" i="5"/>
  <c r="N191" i="5"/>
  <c r="P258" i="5"/>
  <c r="N258" i="5"/>
  <c r="B25" i="11"/>
  <c r="B27" i="11"/>
  <c r="J33" i="10"/>
  <c r="L17" i="11" s="1"/>
  <c r="M17" i="11"/>
  <c r="O17" i="11" s="1"/>
  <c r="E6" i="11"/>
  <c r="P45" i="5"/>
  <c r="C30" i="11" s="1"/>
  <c r="N45" i="5"/>
  <c r="P98" i="5"/>
  <c r="N98" i="5"/>
  <c r="P17" i="5"/>
  <c r="N17" i="5"/>
  <c r="C25" i="11" l="1"/>
  <c r="B13" i="11"/>
  <c r="L12" i="11"/>
  <c r="F5" i="11"/>
  <c r="C24" i="11"/>
  <c r="C32" i="11"/>
  <c r="B8" i="11"/>
  <c r="C26" i="11"/>
  <c r="F9" i="11"/>
  <c r="F10" i="11"/>
  <c r="F8" i="11"/>
  <c r="C21" i="11"/>
  <c r="F7" i="11"/>
</calcChain>
</file>

<file path=xl/sharedStrings.xml><?xml version="1.0" encoding="utf-8"?>
<sst xmlns="http://schemas.openxmlformats.org/spreadsheetml/2006/main" count="6656" uniqueCount="1436">
  <si>
    <t>Engineering Competency Gap Dashboard - Mock Dataset v2</t>
  </si>
  <si>
    <t>GE Vernova-style portfolio project: competency data, skill gap analysis, user support workflows, evidence control and leadership reporting.</t>
  </si>
  <si>
    <t>JD Alignment</t>
  </si>
  <si>
    <t>How this workbook supports the GE Vernova Data Analyst Intern - Competency Management role</t>
  </si>
  <si>
    <t>Competency models</t>
  </si>
  <si>
    <t>competency_model sheet simulates creating/modifying skill models, required levels and criticality.</t>
  </si>
  <si>
    <t>User/account support</t>
  </si>
  <si>
    <t>employees sheet includes account_status, people leader and role data to support user/account workflows.</t>
  </si>
  <si>
    <t>Data analysis</t>
  </si>
  <si>
    <t>assessments sheet uses formulas to calculate gap, severity, readiness, priority score and data quality flags.</t>
  </si>
  <si>
    <t>Evidence workflow</t>
  </si>
  <si>
    <t>evidence_log simulates uploaded assessment evidence, verification status, quality score and reviewer issues.</t>
  </si>
  <si>
    <t>Access audit</t>
  </si>
  <si>
    <t>access_audit simulates user permissions, access issues, ticket status and support ownership.</t>
  </si>
  <si>
    <t>Trend analysis</t>
  </si>
  <si>
    <t>assessment_history provides quarterly skill movement for readiness and gap trend reporting.</t>
  </si>
  <si>
    <t>Targets</t>
  </si>
  <si>
    <t>competency_targets gives team/area readiness targets for leadership comparison.</t>
  </si>
  <si>
    <t>Dashboards/reporting</t>
  </si>
  <si>
    <t>dashboard_seed sheet gives KPI and summary tables ready for Tableau or Power BI import.</t>
  </si>
  <si>
    <t>Leadership insight</t>
  </si>
  <si>
    <t>training_actions sheet links high-priority gaps to recommended training and ownership.</t>
  </si>
  <si>
    <t>Data accuracy</t>
  </si>
  <si>
    <t>Dataset intentionally includes stale assessments, missing evidence, inactive accounts and duplicate records.</t>
  </si>
  <si>
    <t>Next step</t>
  </si>
  <si>
    <t>Use Python/Pandas to clean the workbook, validate rules, export dashboard-ready data and create insight slides.</t>
  </si>
  <si>
    <t>Mock data note</t>
  </si>
  <si>
    <t>All names and records are fictional and for portfolio/interview preparation only.</t>
  </si>
  <si>
    <t>Recommended pitch</t>
  </si>
  <si>
    <t>I created a GE-style competency dataset to calculate skill gaps, flag data-quality issues and prepare leadership-ready reporting tables.</t>
  </si>
  <si>
    <t>Workbook version</t>
  </si>
  <si>
    <t>Advanced mock dataset v2 - 2026-06-27</t>
  </si>
  <si>
    <t>Author</t>
  </si>
  <si>
    <t>Wai Shek So (Isaac)</t>
  </si>
  <si>
    <t>Target role</t>
  </si>
  <si>
    <t>Data Analyst Intern - Competency Management</t>
  </si>
  <si>
    <t>Stafford</t>
  </si>
  <si>
    <t>employee_id</t>
  </si>
  <si>
    <t>employee_name</t>
  </si>
  <si>
    <t>team</t>
  </si>
  <si>
    <t>role_family</t>
  </si>
  <si>
    <t>job_level</t>
  </si>
  <si>
    <t>people_leader</t>
  </si>
  <si>
    <t>location</t>
  </si>
  <si>
    <t>account_status</t>
  </si>
  <si>
    <t>start_date</t>
  </si>
  <si>
    <t>E001</t>
  </si>
  <si>
    <t>Avery Brown</t>
  </si>
  <si>
    <t>Asset Management</t>
  </si>
  <si>
    <t>Systems Engineering</t>
  </si>
  <si>
    <t>Senior Engineer</t>
  </si>
  <si>
    <t>Aisha Khan</t>
  </si>
  <si>
    <t>Active</t>
  </si>
  <si>
    <t>E002</t>
  </si>
  <si>
    <t>Alex Shah</t>
  </si>
  <si>
    <t>Data &amp; Reporting</t>
  </si>
  <si>
    <t>Engineer</t>
  </si>
  <si>
    <t>Sarah Williams</t>
  </si>
  <si>
    <t>E003</t>
  </si>
  <si>
    <t>Jamie Taylor</t>
  </si>
  <si>
    <t>E004</t>
  </si>
  <si>
    <t>Riley Chen</t>
  </si>
  <si>
    <t>Protection &amp; Control</t>
  </si>
  <si>
    <t>Engineering Management</t>
  </si>
  <si>
    <t>E005</t>
  </si>
  <si>
    <t>Jamie Williams</t>
  </si>
  <si>
    <t>Testing &amp; Validation</t>
  </si>
  <si>
    <t>Tom Evans</t>
  </si>
  <si>
    <t>E006</t>
  </si>
  <si>
    <t>Taylor Patel</t>
  </si>
  <si>
    <t>Software Engineering</t>
  </si>
  <si>
    <t>E007</t>
  </si>
  <si>
    <t>Morgan Nguyen</t>
  </si>
  <si>
    <t>Lead Engineer</t>
  </si>
  <si>
    <t>E008</t>
  </si>
  <si>
    <t>Morgan Williams</t>
  </si>
  <si>
    <t>HVDC</t>
  </si>
  <si>
    <t>Mei Chen</t>
  </si>
  <si>
    <t>E009</t>
  </si>
  <si>
    <t>Riley Morgan</t>
  </si>
  <si>
    <t>Graduate</t>
  </si>
  <si>
    <t>E010</t>
  </si>
  <si>
    <t>Jordan Khan</t>
  </si>
  <si>
    <t>James Walker</t>
  </si>
  <si>
    <t>E011</t>
  </si>
  <si>
    <t>Casey Walker</t>
  </si>
  <si>
    <t>Priya Shah</t>
  </si>
  <si>
    <t>E012</t>
  </si>
  <si>
    <t>Morgan Khan</t>
  </si>
  <si>
    <t>E013</t>
  </si>
  <si>
    <t>Riley Taylor</t>
  </si>
  <si>
    <t>Grid Automation</t>
  </si>
  <si>
    <t>Inactive</t>
  </si>
  <si>
    <t>E014</t>
  </si>
  <si>
    <t>Sam Nguyen</t>
  </si>
  <si>
    <t>E015</t>
  </si>
  <si>
    <t>Alex Taylor</t>
  </si>
  <si>
    <t>Chief Engineer Office</t>
  </si>
  <si>
    <t>E016</t>
  </si>
  <si>
    <t>Morgan Walker</t>
  </si>
  <si>
    <t>E017</t>
  </si>
  <si>
    <t>Morgan Patel</t>
  </si>
  <si>
    <t>E018</t>
  </si>
  <si>
    <t>Jordan Evans</t>
  </si>
  <si>
    <t>E019</t>
  </si>
  <si>
    <t>Cameron Nguyen</t>
  </si>
  <si>
    <t>E020</t>
  </si>
  <si>
    <t>Sam Singh</t>
  </si>
  <si>
    <t>E021</t>
  </si>
  <si>
    <t>Jordan Patel</t>
  </si>
  <si>
    <t>E022</t>
  </si>
  <si>
    <t>Morgan Morgan</t>
  </si>
  <si>
    <t>E023</t>
  </si>
  <si>
    <t>Robin Taylor</t>
  </si>
  <si>
    <t>E024</t>
  </si>
  <si>
    <t>Cameron Shah</t>
  </si>
  <si>
    <t>E025</t>
  </si>
  <si>
    <t>Casey Khan</t>
  </si>
  <si>
    <t>E026</t>
  </si>
  <si>
    <t>Avery Evans</t>
  </si>
  <si>
    <t>E027</t>
  </si>
  <si>
    <t>Drew Singh</t>
  </si>
  <si>
    <t>E028</t>
  </si>
  <si>
    <t>Alex Morgan</t>
  </si>
  <si>
    <t>E029</t>
  </si>
  <si>
    <t>Jamie Nguyen</t>
  </si>
  <si>
    <t>E030</t>
  </si>
  <si>
    <t>Avery Nguyen</t>
  </si>
  <si>
    <t>E031</t>
  </si>
  <si>
    <t>E032</t>
  </si>
  <si>
    <t>Avery Singh</t>
  </si>
  <si>
    <t>E033</t>
  </si>
  <si>
    <t>Taylor Brown</t>
  </si>
  <si>
    <t>E034</t>
  </si>
  <si>
    <t>E035</t>
  </si>
  <si>
    <t>Avery Williams</t>
  </si>
  <si>
    <t>E036</t>
  </si>
  <si>
    <t>Robin Patel</t>
  </si>
  <si>
    <t>competency_id</t>
  </si>
  <si>
    <t>competency_model</t>
  </si>
  <si>
    <t>competency_area</t>
  </si>
  <si>
    <t>competency_name</t>
  </si>
  <si>
    <t>required_level</t>
  </si>
  <si>
    <t>criticality</t>
  </si>
  <si>
    <t>C001</t>
  </si>
  <si>
    <t>Grid Solutions Engineering</t>
  </si>
  <si>
    <t>Data Analysis</t>
  </si>
  <si>
    <t>Excel Data Cleaning</t>
  </si>
  <si>
    <t>High</t>
  </si>
  <si>
    <t>C002</t>
  </si>
  <si>
    <t>Python Data Cleaning</t>
  </si>
  <si>
    <t>C003</t>
  </si>
  <si>
    <t>SQL Querying</t>
  </si>
  <si>
    <t>Medium</t>
  </si>
  <si>
    <t>C004</t>
  </si>
  <si>
    <t>Excel Reporting</t>
  </si>
  <si>
    <t>PivotTables and Power Query</t>
  </si>
  <si>
    <t>C005</t>
  </si>
  <si>
    <t>Tableau</t>
  </si>
  <si>
    <t>Tableau Dashboard Building</t>
  </si>
  <si>
    <t>C006</t>
  </si>
  <si>
    <t>PowerPoint Presentation</t>
  </si>
  <si>
    <t>Leadership Storytelling</t>
  </si>
  <si>
    <t>C007</t>
  </si>
  <si>
    <t>Engineering Documentation</t>
  </si>
  <si>
    <t>Technical Documentation</t>
  </si>
  <si>
    <t>C008</t>
  </si>
  <si>
    <t>Power Systems Knowledge</t>
  </si>
  <si>
    <t>Grid Protection Fundamentals</t>
  </si>
  <si>
    <t>C009</t>
  </si>
  <si>
    <t>HVDC System Concepts</t>
  </si>
  <si>
    <t>C010</t>
  </si>
  <si>
    <t>Test Evidence Review</t>
  </si>
  <si>
    <t>C011</t>
  </si>
  <si>
    <t>Defect Investigation</t>
  </si>
  <si>
    <t>C012</t>
  </si>
  <si>
    <t>Safety / Compliance</t>
  </si>
  <si>
    <t>Engineering Safety Awareness</t>
  </si>
  <si>
    <t>C013</t>
  </si>
  <si>
    <t>Stakeholder Communication</t>
  </si>
  <si>
    <t>Non-Technical Explanation</t>
  </si>
  <si>
    <t>C014</t>
  </si>
  <si>
    <t>Cross-Functional Updates</t>
  </si>
  <si>
    <t>C015</t>
  </si>
  <si>
    <t>Python</t>
  </si>
  <si>
    <t>Automation Scripting</t>
  </si>
  <si>
    <t>C016</t>
  </si>
  <si>
    <t>Software Tools</t>
  </si>
  <si>
    <t>Version Control with Git</t>
  </si>
  <si>
    <t>C017</t>
  </si>
  <si>
    <t>Data Quality</t>
  </si>
  <si>
    <t>Duplicate and Missing Value Checks</t>
  </si>
  <si>
    <t>C018</t>
  </si>
  <si>
    <t>Assessment Evidence Validation</t>
  </si>
  <si>
    <t>C019</t>
  </si>
  <si>
    <t>Competency Systems</t>
  </si>
  <si>
    <t>Competency Model Maintenance</t>
  </si>
  <si>
    <t>C020</t>
  </si>
  <si>
    <t>User Support</t>
  </si>
  <si>
    <t>Competency Tool User Support</t>
  </si>
  <si>
    <t>C021</t>
  </si>
  <si>
    <t>Recurring KPI Reporting</t>
  </si>
  <si>
    <t>C022</t>
  </si>
  <si>
    <t>Dashboard Filtering and Actions</t>
  </si>
  <si>
    <t>C023</t>
  </si>
  <si>
    <t>Executive Summary Slides</t>
  </si>
  <si>
    <t>C024</t>
  </si>
  <si>
    <t>Engineering Performance Indicators</t>
  </si>
  <si>
    <t>assessment_id</t>
  </si>
  <si>
    <t>current_level</t>
  </si>
  <si>
    <t>gap</t>
  </si>
  <si>
    <t>gap_severity</t>
  </si>
  <si>
    <t>criticality_weight</t>
  </si>
  <si>
    <t>priority_score</t>
  </si>
  <si>
    <t>readiness_status</t>
  </si>
  <si>
    <t>evidence_status</t>
  </si>
  <si>
    <t>assessment_date</t>
  </si>
  <si>
    <t>assessment_age_days</t>
  </si>
  <si>
    <t>assessor</t>
  </si>
  <si>
    <t>comments</t>
  </si>
  <si>
    <t>data_quality_flag</t>
  </si>
  <si>
    <t>A0001</t>
  </si>
  <si>
    <t>Missing</t>
  </si>
  <si>
    <t>Manager</t>
  </si>
  <si>
    <t>A0002</t>
  </si>
  <si>
    <t>Partial</t>
  </si>
  <si>
    <t>Ready for review</t>
  </si>
  <si>
    <t>A0003</t>
  </si>
  <si>
    <t>Verified</t>
  </si>
  <si>
    <t>Self</t>
  </si>
  <si>
    <t>A0004</t>
  </si>
  <si>
    <t>Needs evidence upload</t>
  </si>
  <si>
    <t>A0005</t>
  </si>
  <si>
    <t>Discuss training route with leader</t>
  </si>
  <si>
    <t>A0006</t>
  </si>
  <si>
    <t>A0007</t>
  </si>
  <si>
    <t>A0008</t>
  </si>
  <si>
    <t>A0009</t>
  </si>
  <si>
    <t>A0010</t>
  </si>
  <si>
    <t>Needs practical project evidence</t>
  </si>
  <si>
    <t>A0011</t>
  </si>
  <si>
    <t>A0012</t>
  </si>
  <si>
    <t>System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</si>
  <si>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</si>
  <si>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</si>
  <si>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</si>
  <si>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</si>
  <si>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</si>
  <si>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</si>
  <si>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</si>
  <si>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</si>
  <si>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</si>
  <si>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</si>
  <si>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</si>
  <si>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</si>
  <si>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</si>
  <si>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</si>
  <si>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</si>
  <si>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</si>
  <si>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</si>
  <si>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</si>
  <si>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</si>
  <si>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</si>
  <si>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</si>
  <si>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</si>
  <si>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</si>
  <si>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</si>
  <si>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</si>
  <si>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</si>
  <si>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</si>
  <si>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</si>
  <si>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</si>
  <si>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</si>
  <si>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</si>
  <si>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</si>
  <si>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</si>
  <si>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</si>
  <si>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</si>
  <si>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</si>
  <si>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</si>
  <si>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</si>
  <si>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</si>
  <si>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</si>
  <si>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</si>
  <si>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</si>
  <si>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</si>
  <si>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</si>
  <si>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</si>
  <si>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</si>
  <si>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</si>
  <si>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</si>
  <si>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</si>
  <si>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</si>
  <si>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</si>
  <si>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</si>
  <si>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</si>
  <si>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</si>
  <si>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</si>
  <si>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</si>
  <si>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</si>
  <si>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</si>
  <si>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</si>
  <si>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</si>
  <si>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</si>
  <si>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</si>
  <si>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</si>
  <si>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</si>
  <si>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</si>
  <si>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</si>
  <si>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</si>
  <si>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</si>
  <si>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</si>
  <si>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</si>
  <si>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</si>
  <si>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</si>
  <si>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</si>
  <si>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</si>
  <si>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</si>
  <si>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</si>
  <si>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</si>
  <si>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</si>
  <si>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</si>
  <si>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</si>
  <si>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</si>
  <si>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</si>
  <si>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</si>
  <si>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</si>
  <si>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</si>
  <si>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</si>
  <si>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</si>
  <si>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</si>
  <si>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</si>
  <si>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</si>
  <si>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</si>
  <si>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</si>
  <si>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</si>
  <si>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</si>
  <si>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</si>
  <si>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</si>
  <si>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</si>
  <si>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</si>
  <si>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</si>
  <si>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</si>
  <si>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</si>
  <si>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</si>
  <si>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</si>
  <si>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</si>
  <si>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</si>
  <si>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</si>
  <si>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</si>
  <si>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</si>
  <si>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</si>
  <si>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</si>
  <si>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</si>
  <si>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</si>
  <si>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</si>
  <si>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</si>
  <si>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</si>
  <si>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</si>
  <si>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</si>
  <si>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</si>
  <si>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</si>
  <si>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</si>
  <si>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</si>
  <si>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</si>
  <si>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</si>
  <si>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</si>
  <si>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</si>
  <si>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</si>
  <si>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</si>
  <si>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</si>
  <si>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</si>
  <si>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</si>
  <si>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</si>
  <si>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</si>
  <si>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</si>
  <si>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</si>
  <si>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</si>
  <si>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</si>
  <si>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</si>
  <si>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</si>
  <si>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</si>
  <si>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</si>
  <si>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</si>
  <si>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</si>
  <si>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</si>
  <si>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</si>
  <si>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</si>
  <si>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</si>
  <si>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</si>
  <si>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</si>
  <si>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</si>
  <si>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</si>
  <si>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</si>
  <si>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</si>
  <si>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</si>
  <si>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</si>
  <si>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</si>
  <si>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</si>
  <si>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</si>
  <si>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</si>
  <si>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</si>
  <si>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</si>
  <si>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</si>
  <si>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</si>
  <si>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</si>
  <si>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</si>
  <si>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</si>
  <si>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</si>
  <si>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</si>
  <si>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</si>
  <si>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</si>
  <si>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</si>
  <si>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</si>
  <si>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</si>
  <si>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</si>
  <si>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</si>
  <si>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</si>
  <si>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</si>
  <si>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</si>
  <si>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</si>
  <si>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</si>
  <si>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</si>
  <si>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</si>
  <si>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</si>
  <si>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</si>
  <si>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</si>
  <si>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</si>
  <si>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</si>
  <si>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</si>
  <si>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</si>
  <si>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</si>
  <si>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</si>
  <si>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</si>
  <si>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</si>
  <si>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</si>
  <si>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</si>
  <si>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</si>
  <si>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</si>
  <si>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</si>
  <si>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</si>
  <si>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</si>
  <si>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</si>
  <si>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</si>
  <si>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</si>
  <si>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</si>
  <si>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</si>
  <si>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</si>
  <si>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</si>
  <si>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</si>
  <si>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</si>
  <si>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</si>
  <si>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</si>
  <si>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</si>
  <si>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</si>
  <si>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</si>
  <si>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</si>
  <si>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</si>
  <si>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</si>
  <si>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</si>
  <si>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</si>
  <si>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</si>
  <si>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</si>
  <si>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</si>
  <si>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</si>
  <si>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</si>
  <si>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</si>
  <si>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</si>
  <si>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</si>
  <si>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</si>
  <si>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</si>
  <si>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</si>
  <si>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</si>
  <si>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</si>
  <si>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</si>
  <si>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</si>
  <si>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</si>
  <si>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</si>
  <si>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</si>
  <si>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</si>
  <si>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</si>
  <si>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</si>
  <si>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</si>
  <si>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</si>
  <si>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</si>
  <si>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</si>
  <si>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</si>
  <si>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</si>
  <si>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</si>
  <si>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</si>
  <si>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</si>
  <si>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Duplicate record inserted for QA testing</t>
  </si>
  <si>
    <t>A0261</t>
  </si>
  <si>
    <t>A0262</t>
  </si>
  <si>
    <t>A0263</t>
  </si>
  <si>
    <t>action_id</t>
  </si>
  <si>
    <t>gap_priority_source</t>
  </si>
  <si>
    <t>recommended_training</t>
  </si>
  <si>
    <t>training_status</t>
  </si>
  <si>
    <t>owner</t>
  </si>
  <si>
    <t>target_date</t>
  </si>
  <si>
    <t>action_notes</t>
  </si>
  <si>
    <t>T001</t>
  </si>
  <si>
    <t>Assessment gap review</t>
  </si>
  <si>
    <t>Excel / Python refresher</t>
  </si>
  <si>
    <t>Not Started</t>
  </si>
  <si>
    <t>Employee</t>
  </si>
  <si>
    <t>Can be grouped with team training</t>
  </si>
  <si>
    <t>T002</t>
  </si>
  <si>
    <t>Engineering documentation workshop</t>
  </si>
  <si>
    <t>Data Analyst Intern</t>
  </si>
  <si>
    <t>T003</t>
  </si>
  <si>
    <t>Prioritise before next review</t>
  </si>
  <si>
    <t>T004</t>
  </si>
  <si>
    <t>Tableau fundamentals</t>
  </si>
  <si>
    <t>In Progress</t>
  </si>
  <si>
    <t>Competency Lead</t>
  </si>
  <si>
    <t>Evidence required after completion</t>
  </si>
  <si>
    <t>T005</t>
  </si>
  <si>
    <t>Low-cost internal training option</t>
  </si>
  <si>
    <t>T006</t>
  </si>
  <si>
    <t>Power systems knowledge session</t>
  </si>
  <si>
    <t>Completed</t>
  </si>
  <si>
    <t>People Leader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</si>
  <si>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</si>
  <si>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</si>
  <si>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</si>
  <si>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</si>
  <si>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</si>
  <si>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</si>
  <si>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</si>
  <si>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</si>
  <si>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</si>
  <si>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</si>
  <si>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</si>
  <si>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Evidence upload guidance</t>
  </si>
  <si>
    <t>T018</t>
  </si>
  <si>
    <t>Competency tool walkthrough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</si>
  <si>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</si>
  <si>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</si>
  <si>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</si>
  <si>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</si>
  <si>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</si>
  <si>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</si>
  <si>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</si>
  <si>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</si>
  <si>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</si>
  <si>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</si>
  <si>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</si>
  <si>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</si>
  <si>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</si>
  <si>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</si>
  <si>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</si>
  <si>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</si>
  <si>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</si>
  <si>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</si>
  <si>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</si>
  <si>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</si>
  <si>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</si>
  <si>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</si>
  <si>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</si>
  <si>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</si>
  <si>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</si>
  <si>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</si>
  <si>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</si>
  <si>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</si>
  <si>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</si>
  <si>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</si>
  <si>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</si>
  <si>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</si>
  <si>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</si>
  <si>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</si>
  <si>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</si>
  <si>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</si>
  <si>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</si>
  <si>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</si>
  <si>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</si>
  <si>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</si>
  <si>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history_id</t>
  </si>
  <si>
    <t>review_quarter</t>
  </si>
  <si>
    <t>review_date</t>
  </si>
  <si>
    <t>review_notes</t>
  </si>
  <si>
    <t>H0001</t>
  </si>
  <si>
    <t>2025 Q3</t>
  </si>
  <si>
    <t>Evidence review</t>
  </si>
  <si>
    <t>H0002</t>
  </si>
  <si>
    <t>2025 Q4</t>
  </si>
  <si>
    <t>Self review</t>
  </si>
  <si>
    <t>H0003</t>
  </si>
  <si>
    <t>2026 Q1</t>
  </si>
  <si>
    <t>H0004</t>
  </si>
  <si>
    <t>2026 Q2</t>
  </si>
  <si>
    <t>Manager calibration</t>
  </si>
  <si>
    <t>H0005</t>
  </si>
  <si>
    <t>H0006</t>
  </si>
  <si>
    <t>H0007</t>
  </si>
  <si>
    <t>Quarterly refresh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</si>
  <si>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</si>
  <si>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</si>
  <si>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</si>
  <si>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</si>
  <si>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</si>
  <si>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</si>
  <si>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</si>
  <si>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</si>
  <si>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</si>
  <si>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</si>
  <si>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</si>
  <si>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</si>
  <si>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</si>
  <si>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</si>
  <si>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</si>
  <si>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</si>
  <si>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</si>
  <si>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</si>
  <si>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</si>
  <si>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</si>
  <si>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</si>
  <si>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</si>
  <si>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</si>
  <si>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</si>
  <si>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</si>
  <si>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</si>
  <si>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</si>
  <si>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</si>
  <si>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</si>
  <si>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</si>
  <si>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</si>
  <si>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</si>
  <si>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</si>
  <si>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</si>
  <si>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</si>
  <si>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</si>
  <si>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</si>
  <si>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</si>
  <si>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</si>
  <si>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</si>
  <si>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</si>
  <si>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</si>
  <si>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</si>
  <si>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</si>
  <si>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</si>
  <si>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</si>
  <si>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</si>
  <si>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</si>
  <si>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</si>
  <si>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</si>
  <si>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</si>
  <si>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</si>
  <si>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</si>
  <si>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</si>
  <si>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</si>
  <si>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</si>
  <si>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</si>
  <si>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</si>
  <si>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</si>
  <si>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</si>
  <si>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</si>
  <si>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</si>
  <si>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</si>
  <si>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</si>
  <si>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</si>
  <si>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</si>
  <si>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</si>
  <si>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</si>
  <si>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</si>
  <si>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</si>
  <si>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</si>
  <si>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</si>
  <si>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</si>
  <si>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</si>
  <si>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</si>
  <si>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</si>
  <si>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</si>
  <si>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</si>
  <si>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</si>
  <si>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</si>
  <si>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</si>
  <si>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</si>
  <si>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</si>
  <si>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</si>
  <si>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</si>
  <si>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</si>
  <si>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</si>
  <si>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</si>
  <si>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</si>
  <si>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</si>
  <si>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</si>
  <si>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</si>
  <si>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</si>
  <si>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</si>
  <si>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</si>
  <si>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</si>
  <si>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</si>
  <si>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</si>
  <si>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</si>
  <si>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</si>
  <si>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</si>
  <si>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</si>
  <si>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</si>
  <si>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</si>
  <si>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</si>
  <si>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</si>
  <si>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</si>
  <si>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</si>
  <si>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</si>
  <si>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</si>
  <si>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</si>
  <si>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</si>
  <si>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</si>
  <si>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</si>
  <si>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</si>
  <si>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</si>
  <si>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</si>
  <si>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</si>
  <si>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</si>
  <si>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</si>
  <si>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</si>
  <si>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</si>
  <si>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</si>
  <si>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</si>
  <si>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</si>
  <si>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</si>
  <si>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</si>
  <si>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</si>
  <si>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</si>
  <si>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</si>
  <si>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</si>
  <si>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</si>
  <si>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</si>
  <si>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</si>
  <si>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</si>
  <si>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</si>
  <si>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</si>
  <si>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</si>
  <si>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</si>
  <si>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</si>
  <si>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</si>
  <si>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</si>
  <si>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</si>
  <si>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</si>
  <si>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</si>
  <si>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</si>
  <si>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</si>
  <si>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</si>
  <si>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</si>
  <si>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</si>
  <si>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</si>
  <si>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</si>
  <si>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</si>
  <si>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</si>
  <si>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</si>
  <si>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</si>
  <si>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</si>
  <si>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</si>
  <si>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</si>
  <si>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</si>
  <si>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</si>
  <si>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</si>
  <si>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</si>
  <si>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</si>
  <si>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</si>
  <si>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</si>
  <si>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</si>
  <si>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</si>
  <si>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</si>
  <si>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</si>
  <si>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</si>
  <si>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</si>
  <si>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</si>
  <si>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</si>
  <si>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</si>
  <si>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</si>
  <si>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</si>
  <si>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</si>
  <si>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</si>
  <si>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</si>
  <si>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</si>
  <si>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</si>
  <si>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</si>
  <si>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</si>
  <si>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</si>
  <si>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</si>
  <si>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</si>
  <si>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</si>
  <si>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</si>
  <si>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</si>
  <si>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</si>
  <si>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</si>
  <si>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</si>
  <si>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</si>
  <si>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</si>
  <si>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</si>
  <si>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</si>
  <si>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</si>
  <si>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</si>
  <si>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</si>
  <si>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</si>
  <si>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</si>
  <si>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</si>
  <si>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</si>
  <si>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</si>
  <si>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</si>
  <si>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</si>
  <si>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</si>
  <si>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</si>
  <si>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</si>
  <si>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</si>
  <si>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</si>
  <si>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</si>
  <si>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</si>
  <si>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</si>
  <si>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</si>
  <si>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</si>
  <si>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</si>
  <si>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</si>
  <si>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</si>
  <si>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</si>
  <si>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</si>
  <si>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</si>
  <si>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</si>
  <si>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</si>
  <si>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</si>
  <si>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</si>
  <si>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</si>
  <si>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</si>
  <si>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</si>
  <si>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</si>
  <si>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</si>
  <si>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</si>
  <si>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</si>
  <si>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</si>
  <si>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</si>
  <si>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</si>
  <si>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</si>
  <si>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</si>
  <si>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</si>
  <si>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</si>
  <si>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</si>
  <si>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</si>
  <si>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</si>
  <si>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</si>
  <si>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</si>
  <si>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</si>
  <si>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</si>
  <si>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</si>
  <si>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</si>
  <si>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</si>
  <si>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</si>
  <si>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</si>
  <si>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</si>
  <si>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</si>
  <si>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</si>
  <si>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</si>
  <si>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</si>
  <si>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</si>
  <si>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</si>
  <si>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</si>
  <si>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</si>
  <si>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</si>
  <si>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</si>
  <si>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</si>
  <si>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</si>
  <si>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</si>
  <si>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</si>
  <si>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</si>
  <si>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</si>
  <si>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</si>
  <si>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</si>
  <si>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</si>
  <si>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</si>
  <si>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</si>
  <si>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</si>
  <si>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</si>
  <si>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</si>
  <si>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</si>
  <si>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</si>
  <si>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</si>
  <si>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</si>
  <si>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</si>
  <si>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</si>
  <si>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</si>
  <si>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</si>
  <si>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</si>
  <si>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</si>
  <si>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</si>
  <si>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</si>
  <si>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</si>
  <si>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</si>
  <si>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</si>
  <si>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</si>
  <si>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</si>
  <si>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</si>
  <si>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</si>
  <si>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</si>
  <si>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</si>
  <si>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</si>
  <si>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</si>
  <si>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</si>
  <si>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</si>
  <si>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</si>
  <si>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</si>
  <si>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</si>
  <si>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</si>
  <si>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</si>
  <si>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</si>
  <si>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</si>
  <si>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</si>
  <si>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</si>
  <si>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</si>
  <si>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</si>
  <si>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</si>
  <si>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</si>
  <si>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</si>
  <si>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</si>
  <si>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</si>
  <si>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</si>
  <si>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</si>
  <si>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</si>
  <si>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</si>
  <si>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</si>
  <si>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</si>
  <si>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</si>
  <si>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</si>
  <si>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</si>
  <si>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</si>
  <si>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</si>
  <si>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</si>
  <si>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</si>
  <si>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</si>
  <si>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</si>
  <si>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</si>
  <si>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</si>
  <si>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</si>
  <si>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</si>
  <si>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</si>
  <si>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</si>
  <si>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</si>
  <si>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</si>
  <si>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</si>
  <si>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</si>
  <si>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</si>
  <si>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</si>
  <si>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</si>
  <si>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</si>
  <si>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</si>
  <si>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</si>
  <si>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</si>
  <si>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</si>
  <si>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</si>
  <si>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</si>
  <si>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</si>
  <si>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</si>
  <si>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</si>
  <si>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</si>
  <si>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</si>
  <si>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</si>
  <si>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</si>
  <si>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</si>
  <si>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</si>
  <si>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</si>
  <si>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</si>
  <si>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</si>
  <si>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</si>
  <si>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</si>
  <si>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</si>
  <si>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</si>
  <si>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</si>
  <si>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</si>
  <si>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</si>
  <si>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evidence_id</t>
  </si>
  <si>
    <t>evidence_type</t>
  </si>
  <si>
    <t>submitted_date</t>
  </si>
  <si>
    <t>verification_status</t>
  </si>
  <si>
    <t>verified_by</t>
  </si>
  <si>
    <t>file_reference</t>
  </si>
  <si>
    <t>quality_score</t>
  </si>
  <si>
    <t>evidence_issue</t>
  </si>
  <si>
    <t>EV0001</t>
  </si>
  <si>
    <t>Training certificate</t>
  </si>
  <si>
    <t>GE-MOCK-A0001-C009.pdf</t>
  </si>
  <si>
    <t>Evidence not uploaded</t>
  </si>
  <si>
    <t>EV0002</t>
  </si>
  <si>
    <t>Test evidence</t>
  </si>
  <si>
    <t>Pending Review</t>
  </si>
  <si>
    <t>GE-MOCK-A0002-C020.pdf</t>
  </si>
  <si>
    <t>Needs clearer screenshot</t>
  </si>
  <si>
    <t>EV0003</t>
  </si>
  <si>
    <t>GE-MOCK-A0003-C013.pdf</t>
  </si>
  <si>
    <t>Evidence date mismatch</t>
  </si>
  <si>
    <t>EV0004</t>
  </si>
  <si>
    <t>Approved</t>
  </si>
  <si>
    <t>GE-MOCK-A0004-C004.pdf</t>
  </si>
  <si>
    <t>EV0005</t>
  </si>
  <si>
    <t>Workshop attendance</t>
  </si>
  <si>
    <t>Needs Rework</t>
  </si>
  <si>
    <t>GE-MOCK-A0005-C006.pdf</t>
  </si>
  <si>
    <t>EV0006</t>
  </si>
  <si>
    <t>GE-MOCK-A0006-C024.pdf</t>
  </si>
  <si>
    <t>EV0007</t>
  </si>
  <si>
    <t>GE-MOCK-A0007-C014.pdf</t>
  </si>
  <si>
    <t>EV0008</t>
  </si>
  <si>
    <t>GE-MOCK-A0008-C007.pdf</t>
  </si>
  <si>
    <t>EV0009</t>
  </si>
  <si>
    <t>Manager sign-off</t>
  </si>
  <si>
    <t>GE-MOCK-A0009-C020.pdf</t>
  </si>
  <si>
    <t>EV0010</t>
  </si>
  <si>
    <t>GE-MOCK-A0010-C002.pdf</t>
  </si>
  <si>
    <t>EV0011</t>
  </si>
  <si>
    <t>GE-MOCK-A0011-C017.pdf</t>
  </si>
  <si>
    <t>EV0012</t>
  </si>
  <si>
    <t>System screenshot</t>
  </si>
  <si>
    <t>GE-MOCK-A0012-C003.pdf</t>
  </si>
  <si>
    <t>EV0013</t>
  </si>
  <si>
    <t>GE-MOCK-A0013-C006.pdf</t>
  </si>
  <si>
    <t>EV0014</t>
  </si>
  <si>
    <t>GE-MOCK-A0014-C022.pdf</t>
  </si>
  <si>
    <t>EV0015</t>
  </si>
  <si>
    <t>Project artefact</t>
  </si>
  <si>
    <t>GE-MOCK-A0015-C005.pdf</t>
  </si>
  <si>
    <t>EV0016</t>
  </si>
  <si>
    <t>GE-MOCK-A0016-C001.pdf</t>
  </si>
  <si>
    <t>EV0017</t>
  </si>
  <si>
    <t>GE-MOCK-A0017-C012.pdf</t>
  </si>
  <si>
    <t>EV0018</t>
  </si>
  <si>
    <t>GE-MOCK-A0018-C007.pdf</t>
  </si>
  <si>
    <t>EV0019</t>
  </si>
  <si>
    <t>GE-MOCK-A0019-C014.pdf</t>
  </si>
  <si>
    <t>EV0020</t>
  </si>
  <si>
    <t>GE-MOCK-A0020-C024.pdf</t>
  </si>
  <si>
    <t>EV0021</t>
  </si>
  <si>
    <t>GE-MOCK-A0021-C020.pdf</t>
  </si>
  <si>
    <t>EV0022</t>
  </si>
  <si>
    <t>GE-MOCK-A0022-C013.pdf</t>
  </si>
  <si>
    <t>EV0023</t>
  </si>
  <si>
    <t>GE-MOCK-A0023-C006.pdf</t>
  </si>
  <si>
    <t>EV0024</t>
  </si>
  <si>
    <t>GE-MOCK-A0024-C020.pdf</t>
  </si>
  <si>
    <t>EV0025</t>
  </si>
  <si>
    <t>GE-MOCK-A0025-C013.pdf</t>
  </si>
  <si>
    <t>EV0026</t>
  </si>
  <si>
    <t>GE-MOCK-A0026-C004.pdf</t>
  </si>
  <si>
    <t>EV0027</t>
  </si>
  <si>
    <t>GE-MOCK-A0027-C014.pdf</t>
  </si>
  <si>
    <t>EV0028</t>
  </si>
  <si>
    <t>GE-MOCK-A0028-C007.pdf</t>
  </si>
  <si>
    <t>EV0029</t>
  </si>
  <si>
    <t>GE-MOCK-A0029-C006.pdf</t>
  </si>
  <si>
    <t>EV0030</t>
  </si>
  <si>
    <t>GE-MOCK-A0030-C023.pdf</t>
  </si>
  <si>
    <t>EV0031</t>
  </si>
  <si>
    <t>GE-MOCK-A0031-C019.pdf</t>
  </si>
  <si>
    <t>EV0032</t>
  </si>
  <si>
    <t>GE-MOCK-A0032-C018.pdf</t>
  </si>
  <si>
    <t>EV0033</t>
  </si>
  <si>
    <t>GE-MOCK-A0033-C012.pdf</t>
  </si>
  <si>
    <t>EV0034</t>
  </si>
  <si>
    <t>GE-MOCK-A0034-C004.pdf</t>
  </si>
  <si>
    <t>Awaiting leader sign-off</t>
  </si>
  <si>
    <t>EV0035</t>
  </si>
  <si>
    <t>GE-MOCK-A0035-C017.pdf</t>
  </si>
  <si>
    <t>EV0036</t>
  </si>
  <si>
    <t>GE-MOCK-A0036-C020.pdf</t>
  </si>
  <si>
    <t>EV0037</t>
  </si>
  <si>
    <t>GE-MOCK-A0037-C006.pdf</t>
  </si>
  <si>
    <t>EV0038</t>
  </si>
  <si>
    <t>GE-MOCK-A0038-C016.pdf</t>
  </si>
  <si>
    <t>EV0039</t>
  </si>
  <si>
    <t>GE-MOCK-A0039-C006.pdf</t>
  </si>
  <si>
    <t>EV0040</t>
  </si>
  <si>
    <t>GE-MOCK-A0040-C011.pdf</t>
  </si>
  <si>
    <t>EV0041</t>
  </si>
  <si>
    <t>GE-MOCK-A0041-C003.pdf</t>
  </si>
  <si>
    <t>EV0042</t>
  </si>
  <si>
    <t>GE-MOCK-A0042-C013.pdf</t>
  </si>
  <si>
    <t>EV0043</t>
  </si>
  <si>
    <t>GE-MOCK-A0043-C020.pdf</t>
  </si>
  <si>
    <t>EV0044</t>
  </si>
  <si>
    <t>GE-MOCK-A0044-C015.pdf</t>
  </si>
  <si>
    <t>EV0045</t>
  </si>
  <si>
    <t>GE-MOCK-A0045-C012.pdf</t>
  </si>
  <si>
    <t>EV0046</t>
  </si>
  <si>
    <t>GE-MOCK-A0046-C020.pdf</t>
  </si>
  <si>
    <t>EV0047</t>
  </si>
  <si>
    <t>GE-MOCK-A0047-C022.pdf</t>
  </si>
  <si>
    <t>EV0048</t>
  </si>
  <si>
    <t>GE-MOCK-A0048-C013.pdf</t>
  </si>
  <si>
    <t>EV0049</t>
  </si>
  <si>
    <t>GE-MOCK-A0049-C012.pdf</t>
  </si>
  <si>
    <t>EV0050</t>
  </si>
  <si>
    <t>GE-MOCK-A0050-C001.pdf</t>
  </si>
  <si>
    <t>EV0051</t>
  </si>
  <si>
    <t>GE-MOCK-A0051-C003.pdf</t>
  </si>
  <si>
    <t>EV0052</t>
  </si>
  <si>
    <t>GE-MOCK-A0052-C007.pdf</t>
  </si>
  <si>
    <t>EV0053</t>
  </si>
  <si>
    <t>GE-MOCK-A0053-C021.pdf</t>
  </si>
  <si>
    <t>EV0054</t>
  </si>
  <si>
    <t>GE-MOCK-A0054-C004.pdf</t>
  </si>
  <si>
    <t>EV0055</t>
  </si>
  <si>
    <t>GE-MOCK-A0055-C014.pdf</t>
  </si>
  <si>
    <t>EV0056</t>
  </si>
  <si>
    <t>GE-MOCK-A0056-C006.pdf</t>
  </si>
  <si>
    <t>EV0057</t>
  </si>
  <si>
    <t>GE-MOCK-A0057-C024.pdf</t>
  </si>
  <si>
    <t>EV0058</t>
  </si>
  <si>
    <t>GE-MOCK-A0058-C007.pdf</t>
  </si>
  <si>
    <t>EV0059</t>
  </si>
  <si>
    <t>GE-MOCK-A0059-C013.pdf</t>
  </si>
  <si>
    <t>EV0060</t>
  </si>
  <si>
    <t>GE-MOCK-A0060-C009.pdf</t>
  </si>
  <si>
    <t>EV0061</t>
  </si>
  <si>
    <t>GE-MOCK-A0061-C004.pdf</t>
  </si>
  <si>
    <t>EV0062</t>
  </si>
  <si>
    <t>GE-MOCK-A0062-C011.pdf</t>
  </si>
  <si>
    <t>EV0063</t>
  </si>
  <si>
    <t>GE-MOCK-A0063-C018.pdf</t>
  </si>
  <si>
    <t>EV0064</t>
  </si>
  <si>
    <t>GE-MOCK-A0064-C010.pdf</t>
  </si>
  <si>
    <t>EV0065</t>
  </si>
  <si>
    <t>GE-MOCK-A0065-C017.pdf</t>
  </si>
  <si>
    <t>EV0066</t>
  </si>
  <si>
    <t>GE-MOCK-A0066-C012.pdf</t>
  </si>
  <si>
    <t>EV0067</t>
  </si>
  <si>
    <t>GE-MOCK-A0067-C013.pdf</t>
  </si>
  <si>
    <t>EV0068</t>
  </si>
  <si>
    <t>GE-MOCK-A0068-C006.pdf</t>
  </si>
  <si>
    <t>EV0069</t>
  </si>
  <si>
    <t>GE-MOCK-A0069-C012.pdf</t>
  </si>
  <si>
    <t>EV0070</t>
  </si>
  <si>
    <t>GE-MOCK-A0070-C001.pdf</t>
  </si>
  <si>
    <t>EV0071</t>
  </si>
  <si>
    <t>GE-MOCK-A0071-C013.pdf</t>
  </si>
  <si>
    <t>EV0072</t>
  </si>
  <si>
    <t>GE-MOCK-A0072-C004.pdf</t>
  </si>
  <si>
    <t>EV0073</t>
  </si>
  <si>
    <t>GE-MOCK-A0073-C018.pdf</t>
  </si>
  <si>
    <t>EV0074</t>
  </si>
  <si>
    <t>GE-MOCK-A0074-C022.pdf</t>
  </si>
  <si>
    <t>EV0075</t>
  </si>
  <si>
    <t>GE-MOCK-A0075-C013.pdf</t>
  </si>
  <si>
    <t>EV0076</t>
  </si>
  <si>
    <t>GE-MOCK-A0076-C017.pdf</t>
  </si>
  <si>
    <t>EV0077</t>
  </si>
  <si>
    <t>GE-MOCK-A0077-C002.pdf</t>
  </si>
  <si>
    <t>EV0078</t>
  </si>
  <si>
    <t>GE-MOCK-A0078-C007.pdf</t>
  </si>
  <si>
    <t>EV0079</t>
  </si>
  <si>
    <t>GE-MOCK-A0079-C016.pdf</t>
  </si>
  <si>
    <t>EV0080</t>
  </si>
  <si>
    <t>GE-MOCK-A0080-C020.pdf</t>
  </si>
  <si>
    <t>EV0081</t>
  </si>
  <si>
    <t>GE-MOCK-A0081-C006.pdf</t>
  </si>
  <si>
    <t>EV0082</t>
  </si>
  <si>
    <t>GE-MOCK-A0082-C015.pdf</t>
  </si>
  <si>
    <t>EV0083</t>
  </si>
  <si>
    <t>GE-MOCK-A0083-C004.pdf</t>
  </si>
  <si>
    <t>EV0084</t>
  </si>
  <si>
    <t>GE-MOCK-A0084-C012.pdf</t>
  </si>
  <si>
    <t>EV0085</t>
  </si>
  <si>
    <t>GE-MOCK-A0085-C018.pdf</t>
  </si>
  <si>
    <t>EV0086</t>
  </si>
  <si>
    <t>GE-MOCK-A0086-C006.pdf</t>
  </si>
  <si>
    <t>EV0087</t>
  </si>
  <si>
    <t>GE-MOCK-A0087-C010.pdf</t>
  </si>
  <si>
    <t>EV0088</t>
  </si>
  <si>
    <t>GE-MOCK-A0088-C013.pdf</t>
  </si>
  <si>
    <t>EV0089</t>
  </si>
  <si>
    <t>GE-MOCK-A0089-C017.pdf</t>
  </si>
  <si>
    <t>EV0090</t>
  </si>
  <si>
    <t>GE-MOCK-A0090-C020.pdf</t>
  </si>
  <si>
    <t>EV0091</t>
  </si>
  <si>
    <t>GE-MOCK-A0091-C012.pdf</t>
  </si>
  <si>
    <t>EV0092</t>
  </si>
  <si>
    <t>GE-MOCK-A0092-C004.pdf</t>
  </si>
  <si>
    <t>EV0093</t>
  </si>
  <si>
    <t>GE-MOCK-A0093-C010.pdf</t>
  </si>
  <si>
    <t>EV0094</t>
  </si>
  <si>
    <t>GE-MOCK-A0094-C018.pdf</t>
  </si>
  <si>
    <t>EV0095</t>
  </si>
  <si>
    <t>GE-MOCK-A0095-C011.pdf</t>
  </si>
  <si>
    <t>EV0096</t>
  </si>
  <si>
    <t>GE-MOCK-A0096-C006.pdf</t>
  </si>
  <si>
    <t>EV0097</t>
  </si>
  <si>
    <t>GE-MOCK-A0097-C007.pdf</t>
  </si>
  <si>
    <t>EV0098</t>
  </si>
  <si>
    <t>GE-MOCK-A0098-C013.pdf</t>
  </si>
  <si>
    <t>EV0099</t>
  </si>
  <si>
    <t>GE-MOCK-A0099-C002.pdf</t>
  </si>
  <si>
    <t>EV0100</t>
  </si>
  <si>
    <t>GE-MOCK-A0100-C012.pdf</t>
  </si>
  <si>
    <t>EV0101</t>
  </si>
  <si>
    <t>GE-MOCK-A0101-C006.pdf</t>
  </si>
  <si>
    <t>EV0102</t>
  </si>
  <si>
    <t>GE-MOCK-A0102-C017.pdf</t>
  </si>
  <si>
    <t>EV0103</t>
  </si>
  <si>
    <t>GE-MOCK-A0103-C020.pdf</t>
  </si>
  <si>
    <t>EV0104</t>
  </si>
  <si>
    <t>GE-MOCK-A0104-C015.pdf</t>
  </si>
  <si>
    <t>EV0105</t>
  </si>
  <si>
    <t>GE-MOCK-A0105-C020.pdf</t>
  </si>
  <si>
    <t>EV0106</t>
  </si>
  <si>
    <t>GE-MOCK-A0106-C017.pdf</t>
  </si>
  <si>
    <t>EV0107</t>
  </si>
  <si>
    <t>GE-MOCK-A0107-C002.pdf</t>
  </si>
  <si>
    <t>EV0108</t>
  </si>
  <si>
    <t>GE-MOCK-A0108-C004.pdf</t>
  </si>
  <si>
    <t>EV0109</t>
  </si>
  <si>
    <t>GE-MOCK-A0109-C003.pdf</t>
  </si>
  <si>
    <t>EV0110</t>
  </si>
  <si>
    <t>GE-MOCK-A0110-C007.pdf</t>
  </si>
  <si>
    <t>EV0111</t>
  </si>
  <si>
    <t>GE-MOCK-A0111-C006.pdf</t>
  </si>
  <si>
    <t>EV0112</t>
  </si>
  <si>
    <t>GE-MOCK-A0112-C012.pdf</t>
  </si>
  <si>
    <t>EV0113</t>
  </si>
  <si>
    <t>GE-MOCK-A0113-C004.pdf</t>
  </si>
  <si>
    <t>EV0114</t>
  </si>
  <si>
    <t>GE-MOCK-A0114-C006.pdf</t>
  </si>
  <si>
    <t>EV0115</t>
  </si>
  <si>
    <t>GE-MOCK-A0115-C007.pdf</t>
  </si>
  <si>
    <t>EV0116</t>
  </si>
  <si>
    <t>GE-MOCK-A0116-C012.pdf</t>
  </si>
  <si>
    <t>EV0117</t>
  </si>
  <si>
    <t>GE-MOCK-A0117-C010.pdf</t>
  </si>
  <si>
    <t>EV0118</t>
  </si>
  <si>
    <t>GE-MOCK-A0118-C011.pdf</t>
  </si>
  <si>
    <t>EV0119</t>
  </si>
  <si>
    <t>GE-MOCK-A0119-C020.pdf</t>
  </si>
  <si>
    <t>EV0120</t>
  </si>
  <si>
    <t>GE-MOCK-A0120-C013.pdf</t>
  </si>
  <si>
    <t>EV0121</t>
  </si>
  <si>
    <t>GE-MOCK-A0121-C007.pdf</t>
  </si>
  <si>
    <t>EV0122</t>
  </si>
  <si>
    <t>GE-MOCK-A0122-C006.pdf</t>
  </si>
  <si>
    <t>EV0123</t>
  </si>
  <si>
    <t>GE-MOCK-A0123-C014.pdf</t>
  </si>
  <si>
    <t>EV0124</t>
  </si>
  <si>
    <t>GE-MOCK-A0124-C004.pdf</t>
  </si>
  <si>
    <t>EV0125</t>
  </si>
  <si>
    <t>GE-MOCK-A0125-C009.pdf</t>
  </si>
  <si>
    <t>EV0126</t>
  </si>
  <si>
    <t>GE-MOCK-A0126-C007.pdf</t>
  </si>
  <si>
    <t>EV0127</t>
  </si>
  <si>
    <t>GE-MOCK-A0127-C006.pdf</t>
  </si>
  <si>
    <t>EV0128</t>
  </si>
  <si>
    <t>GE-MOCK-A0128-C004.pdf</t>
  </si>
  <si>
    <t>EV0129</t>
  </si>
  <si>
    <t>GE-MOCK-A0129-C020.pdf</t>
  </si>
  <si>
    <t>EV0130</t>
  </si>
  <si>
    <t>GE-MOCK-A0130-C001.pdf</t>
  </si>
  <si>
    <t>EV0131</t>
  </si>
  <si>
    <t>GE-MOCK-A0131-C021.pdf</t>
  </si>
  <si>
    <t>EV0132</t>
  </si>
  <si>
    <t>GE-MOCK-A0132-C010.pdf</t>
  </si>
  <si>
    <t>EV0133</t>
  </si>
  <si>
    <t>GE-MOCK-A0133-C007.pdf</t>
  </si>
  <si>
    <t>EV0134</t>
  </si>
  <si>
    <t>GE-MOCK-A0134-C011.pdf</t>
  </si>
  <si>
    <t>EV0135</t>
  </si>
  <si>
    <t>GE-MOCK-A0135-C018.pdf</t>
  </si>
  <si>
    <t>EV0136</t>
  </si>
  <si>
    <t>GE-MOCK-A0136-C020.pdf</t>
  </si>
  <si>
    <t>EV0137</t>
  </si>
  <si>
    <t>GE-MOCK-A0137-C012.pdf</t>
  </si>
  <si>
    <t>EV0138</t>
  </si>
  <si>
    <t>GE-MOCK-A0138-C013.pdf</t>
  </si>
  <si>
    <t>EV0139</t>
  </si>
  <si>
    <t>GE-MOCK-A0139-C012.pdf</t>
  </si>
  <si>
    <t>EV0140</t>
  </si>
  <si>
    <t>GE-MOCK-A0140-C020.pdf</t>
  </si>
  <si>
    <t>EV0141</t>
  </si>
  <si>
    <t>GE-MOCK-A0141-C017.pdf</t>
  </si>
  <si>
    <t>EV0142</t>
  </si>
  <si>
    <t>GE-MOCK-A0142-C016.pdf</t>
  </si>
  <si>
    <t>EV0143</t>
  </si>
  <si>
    <t>GE-MOCK-A0143-C003.pdf</t>
  </si>
  <si>
    <t>EV0144</t>
  </si>
  <si>
    <t>GE-MOCK-A0144-C012.pdf</t>
  </si>
  <si>
    <t>EV0145</t>
  </si>
  <si>
    <t>GE-MOCK-A0145-C017.pdf</t>
  </si>
  <si>
    <t>EV0146</t>
  </si>
  <si>
    <t>GE-MOCK-A0146-C022.pdf</t>
  </si>
  <si>
    <t>EV0147</t>
  </si>
  <si>
    <t>GE-MOCK-A0147-C006.pdf</t>
  </si>
  <si>
    <t>EV0148</t>
  </si>
  <si>
    <t>GE-MOCK-A0148-C003.pdf</t>
  </si>
  <si>
    <t>EV0149</t>
  </si>
  <si>
    <t>GE-MOCK-A0149-C002.pdf</t>
  </si>
  <si>
    <t>EV0150</t>
  </si>
  <si>
    <t>GE-MOCK-A0150-C007.pdf</t>
  </si>
  <si>
    <t>audit_id</t>
  </si>
  <si>
    <t>permission_role</t>
  </si>
  <si>
    <t>tool_access</t>
  </si>
  <si>
    <t>last_login</t>
  </si>
  <si>
    <t>access_issue</t>
  </si>
  <si>
    <t>ticket_status</t>
  </si>
  <si>
    <t>ticket_age_days</t>
  </si>
  <si>
    <t>resolution_owner</t>
  </si>
  <si>
    <t>UA001</t>
  </si>
  <si>
    <t>Read-only Viewer</t>
  </si>
  <si>
    <t>Password reset</t>
  </si>
  <si>
    <t>Open</t>
  </si>
  <si>
    <t>IT Support</t>
  </si>
  <si>
    <t>UA002</t>
  </si>
  <si>
    <t>Competency Admin</t>
  </si>
  <si>
    <t>Competency Tool</t>
  </si>
  <si>
    <t>UA003</t>
  </si>
  <si>
    <t>Leader view not assigned</t>
  </si>
  <si>
    <t>Escalated</t>
  </si>
  <si>
    <t>UA004</t>
  </si>
  <si>
    <t>Tableau access missing</t>
  </si>
  <si>
    <t>UA005</t>
  </si>
  <si>
    <t>SharePoint</t>
  </si>
  <si>
    <t>None</t>
  </si>
  <si>
    <t>Closed</t>
  </si>
  <si>
    <t>UA006</t>
  </si>
  <si>
    <t>UA007</t>
  </si>
  <si>
    <t>Competency tool permission mismatch</t>
  </si>
  <si>
    <t>UA008</t>
  </si>
  <si>
    <t>Excel Reporting Folder</t>
  </si>
  <si>
    <t>UA009</t>
  </si>
  <si>
    <t>UA010</t>
  </si>
  <si>
    <t>UA011</t>
  </si>
  <si>
    <t>UA012</t>
  </si>
  <si>
    <t>UA013</t>
  </si>
  <si>
    <t>Disabled</t>
  </si>
  <si>
    <t>Inactive account</t>
  </si>
  <si>
    <t>UA014</t>
  </si>
  <si>
    <t>UA015</t>
  </si>
  <si>
    <t>UA016</t>
  </si>
  <si>
    <t>UA017</t>
  </si>
  <si>
    <t>UA018</t>
  </si>
  <si>
    <t>UA019</t>
  </si>
  <si>
    <t>UA020</t>
  </si>
  <si>
    <t>UA021</t>
  </si>
  <si>
    <t>UA022</t>
  </si>
  <si>
    <t>UA023</t>
  </si>
  <si>
    <t>UA024</t>
  </si>
  <si>
    <t>UA025</t>
  </si>
  <si>
    <t>UA026</t>
  </si>
  <si>
    <t>UA027</t>
  </si>
  <si>
    <t>UA028</t>
  </si>
  <si>
    <t>UA029</t>
  </si>
  <si>
    <t>UA030</t>
  </si>
  <si>
    <t>UA031</t>
  </si>
  <si>
    <t>UA032</t>
  </si>
  <si>
    <t>UA033</t>
  </si>
  <si>
    <t>UA034</t>
  </si>
  <si>
    <t>UA035</t>
  </si>
  <si>
    <t>UA036</t>
  </si>
  <si>
    <t>target_id</t>
  </si>
  <si>
    <t>target_readiness_rate</t>
  </si>
  <si>
    <t>review_cycle</t>
  </si>
  <si>
    <t>status</t>
  </si>
  <si>
    <t>target_note</t>
  </si>
  <si>
    <t>actual_readiness_rate</t>
  </si>
  <si>
    <t>variance_to_target</t>
  </si>
  <si>
    <t>TG001</t>
  </si>
  <si>
    <t>Monthly</t>
  </si>
  <si>
    <t>At Risk</t>
  </si>
  <si>
    <t>Leadership priority</t>
  </si>
  <si>
    <t>TG002</t>
  </si>
  <si>
    <t>On Track</t>
  </si>
  <si>
    <t>Business-as-usual tracking</t>
  </si>
  <si>
    <t>TG003</t>
  </si>
  <si>
    <t>New tool rollout</t>
  </si>
  <si>
    <t>TG004</t>
  </si>
  <si>
    <t>Quarterly</t>
  </si>
  <si>
    <t>Needs Review</t>
  </si>
  <si>
    <t>Upcoming audit</t>
  </si>
  <si>
    <t>TG005</t>
  </si>
  <si>
    <t>Capability uplift</t>
  </si>
  <si>
    <t>TG006</t>
  </si>
  <si>
    <t>TG007</t>
  </si>
  <si>
    <t>TG008</t>
  </si>
  <si>
    <t>TG009</t>
  </si>
  <si>
    <t>TG010</t>
  </si>
  <si>
    <t>TG011</t>
  </si>
  <si>
    <t>TG012</t>
  </si>
  <si>
    <t>TG013</t>
  </si>
  <si>
    <t>TG014</t>
  </si>
  <si>
    <t>TG015</t>
  </si>
  <si>
    <t>TG016</t>
  </si>
  <si>
    <t>TG017</t>
  </si>
  <si>
    <t>TG018</t>
  </si>
  <si>
    <t>TG019</t>
  </si>
  <si>
    <t>TG020</t>
  </si>
  <si>
    <t>TG021</t>
  </si>
  <si>
    <t>TG022</t>
  </si>
  <si>
    <t>TG023</t>
  </si>
  <si>
    <t>TG024</t>
  </si>
  <si>
    <t>TG025</t>
  </si>
  <si>
    <t>TG026</t>
  </si>
  <si>
    <t>TG027</t>
  </si>
  <si>
    <t>TG028</t>
  </si>
  <si>
    <t>TG029</t>
  </si>
  <si>
    <t>TG030</t>
  </si>
  <si>
    <t>TG031</t>
  </si>
  <si>
    <t>TG032</t>
  </si>
  <si>
    <t>TG033</t>
  </si>
  <si>
    <t>TG034</t>
  </si>
  <si>
    <t>TG035</t>
  </si>
  <si>
    <t>TG036</t>
  </si>
  <si>
    <t>TG037</t>
  </si>
  <si>
    <t>TG038</t>
  </si>
  <si>
    <t>Dashboard Seed - Competency Reporting Tables</t>
  </si>
  <si>
    <t>Formula-backed KPI and summary tables ready for Tableau or Power BI import.</t>
  </si>
  <si>
    <t>KPI</t>
  </si>
  <si>
    <t>Value</t>
  </si>
  <si>
    <t>Team</t>
  </si>
  <si>
    <t>Avg Gap</t>
  </si>
  <si>
    <t>High Priority Gaps</t>
  </si>
  <si>
    <t>Missing Evidence</t>
  </si>
  <si>
    <t>Stale Assessments</t>
  </si>
  <si>
    <t>Review Quarter</t>
  </si>
  <si>
    <t>Ready Records</t>
  </si>
  <si>
    <t>Total Records</t>
  </si>
  <si>
    <t>Readiness Rate</t>
  </si>
  <si>
    <t>Total employees</t>
  </si>
  <si>
    <t>Total assessments</t>
  </si>
  <si>
    <t>Readiness rate</t>
  </si>
  <si>
    <t>High-priority gaps</t>
  </si>
  <si>
    <t>Data quality issues</t>
  </si>
  <si>
    <t>Open training actions</t>
  </si>
  <si>
    <t>Pending evidence reviews</t>
  </si>
  <si>
    <t>Target Rows</t>
  </si>
  <si>
    <t>Below Target</t>
  </si>
  <si>
    <t>Avg Actual</t>
  </si>
  <si>
    <t>Avg Target</t>
  </si>
  <si>
    <t>Avg Variance</t>
  </si>
  <si>
    <t>Open access tickets</t>
  </si>
  <si>
    <t>Targets below readiness goal</t>
  </si>
  <si>
    <t>Quarterly history records</t>
  </si>
  <si>
    <t>Competency Area</t>
  </si>
  <si>
    <t>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</si>
</sst>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6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sz val="11"/>
      <color rgb="FF1F2937"/>
      <name val="Carlito"/>
    </font>
    <font>
      <b/>
      <sz val="11"/>
      <color rgb="FFFFFFFF"/>
      <name val="Carlito"/>
    </font>
    <font>
      <b/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2742"/>
      </patternFill>
    </fill>
    <fill>
      <patternFill patternType="solid">
        <fgColor rgb="FFEAF2FF"/>
      </patternFill>
    </fill>
  </fills>
  <borders count="9">
    <border>
      <left/>
      <right/>
      <top/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8" xfId="0" applyBorder="1"/>
    <xf numFmtId="0" fontId="3" fillId="0" borderId="0" xfId="0" applyFont="1"/>
    <xf numFmtId="0" fontId="3" fillId="0" borderId="8" xfId="0" applyFont="1" applyBorder="1"/>
    <xf numFmtId="0" fontId="4" fillId="2" borderId="7" xfId="0" applyFont="1" applyFill="1" applyBorder="1" applyAlignment="1">
      <alignment wrapText="1"/>
    </xf>
    <xf numFmtId="164" fontId="3" fillId="0" borderId="4" xfId="0" applyNumberFormat="1" applyFont="1" applyBorder="1"/>
    <xf numFmtId="164" fontId="3" fillId="0" borderId="6" xfId="0" applyNumberFormat="1" applyFont="1" applyBorder="1"/>
    <xf numFmtId="1" fontId="3" fillId="0" borderId="0" xfId="0" applyNumberFormat="1" applyFont="1"/>
    <xf numFmtId="1" fontId="3" fillId="0" borderId="8" xfId="0" applyNumberFormat="1" applyFont="1" applyBorder="1"/>
    <xf numFmtId="164" fontId="3" fillId="0" borderId="0" xfId="0" applyNumberFormat="1" applyFont="1"/>
    <xf numFmtId="164" fontId="3" fillId="0" borderId="8" xfId="0" applyNumberFormat="1" applyFont="1" applyBorder="1"/>
    <xf numFmtId="3" fontId="3" fillId="0" borderId="0" xfId="0" applyNumberFormat="1" applyFont="1"/>
    <xf numFmtId="3" fontId="3" fillId="0" borderId="8" xfId="0" applyNumberFormat="1" applyFont="1" applyBorder="1"/>
    <xf numFmtId="165" fontId="3" fillId="0" borderId="0" xfId="0" applyNumberFormat="1" applyFont="1"/>
    <xf numFmtId="165" fontId="3" fillId="0" borderId="8" xfId="0" applyNumberFormat="1" applyFont="1" applyBorder="1"/>
    <xf numFmtId="165" fontId="3" fillId="0" borderId="4" xfId="0" applyNumberFormat="1" applyFont="1" applyBorder="1"/>
    <xf numFmtId="165" fontId="3" fillId="0" borderId="6" xfId="0" applyNumberFormat="1" applyFont="1" applyBorder="1"/>
    <xf numFmtId="165" fontId="0" fillId="0" borderId="0" xfId="0" applyNumberFormat="1"/>
    <xf numFmtId="165" fontId="0" fillId="0" borderId="4" xfId="0" applyNumberFormat="1" applyBorder="1"/>
    <xf numFmtId="2" fontId="0" fillId="0" borderId="0" xfId="0" applyNumberFormat="1"/>
    <xf numFmtId="2" fontId="0" fillId="0" borderId="8" xfId="0" applyNumberFormat="1" applyBorder="1"/>
    <xf numFmtId="165" fontId="0" fillId="0" borderId="6" xfId="0" applyNumberFormat="1" applyBorder="1"/>
    <xf numFmtId="165" fontId="0" fillId="0" borderId="8" xfId="0" applyNumberFormat="1" applyBorder="1"/>
    <xf numFmtId="0" fontId="1" fillId="2" borderId="0" xfId="0" applyFont="1" applyFill="1"/>
    <xf numFmtId="0" fontId="0" fillId="0" borderId="0" xfId="0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Table" displayName="EmployeesTable" ref="A1:I37">
  <tableColumns count="9">
    <tableColumn id="1" xr3:uid="{00000000-0010-0000-0000-000001000000}" name="employee_id"/>
    <tableColumn id="2" xr3:uid="{00000000-0010-0000-0000-000002000000}" name="employee_name"/>
    <tableColumn id="3" xr3:uid="{00000000-0010-0000-0000-000003000000}" name="team"/>
    <tableColumn id="4" xr3:uid="{00000000-0010-0000-0000-000004000000}" name="role_family"/>
    <tableColumn id="5" xr3:uid="{00000000-0010-0000-0000-000005000000}" name="job_level"/>
    <tableColumn id="6" xr3:uid="{00000000-0010-0000-0000-000006000000}" name="people_leader"/>
    <tableColumn id="7" xr3:uid="{00000000-0010-0000-0000-000007000000}" name="location"/>
    <tableColumn id="8" xr3:uid="{00000000-0010-0000-0000-000008000000}" name="account_status"/>
    <tableColumn id="9" xr3:uid="{00000000-0010-0000-0000-000009000000}" name="start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encyModelTable" displayName="CompetencyModelTable" ref="A1:G25">
  <tableColumns count="7">
    <tableColumn id="1" xr3:uid="{00000000-0010-0000-0100-000001000000}" name="competency_id"/>
    <tableColumn id="2" xr3:uid="{00000000-0010-0000-0100-000002000000}" name="competency_model"/>
    <tableColumn id="3" xr3:uid="{00000000-0010-0000-0100-000003000000}" name="competency_area"/>
    <tableColumn id="4" xr3:uid="{00000000-0010-0000-0100-000004000000}" name="competency_name"/>
    <tableColumn id="5" xr3:uid="{00000000-0010-0000-0100-000005000000}" name="role_family"/>
    <tableColumn id="6" xr3:uid="{00000000-0010-0000-0100-000006000000}" name="required_level"/>
    <tableColumn id="7" xr3:uid="{00000000-0010-0000-0100-000007000000}" name="critic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essmentsTable" displayName="AssessmentsTable" ref="A1:W264">
  <tableColumns count="23">
    <tableColumn id="1" xr3:uid="{00000000-0010-0000-0200-000001000000}" name="assessment_id"/>
    <tableColumn id="2" xr3:uid="{00000000-0010-0000-0200-000002000000}" name="employee_id"/>
    <tableColumn id="3" xr3:uid="{00000000-0010-0000-0200-000003000000}" name="employee_name"/>
    <tableColumn id="4" xr3:uid="{00000000-0010-0000-0200-000004000000}" name="team"/>
    <tableColumn id="5" xr3:uid="{00000000-0010-0000-0200-000005000000}" name="role_family"/>
    <tableColumn id="6" xr3:uid="{00000000-0010-0000-0200-000006000000}" name="job_level"/>
    <tableColumn id="7" xr3:uid="{00000000-0010-0000-0200-000007000000}" name="competency_id"/>
    <tableColumn id="8" xr3:uid="{00000000-0010-0000-0200-000008000000}" name="competency_area"/>
    <tableColumn id="9" xr3:uid="{00000000-0010-0000-0200-000009000000}" name="competency_name"/>
    <tableColumn id="10" xr3:uid="{00000000-0010-0000-0200-00000A000000}" name="required_level"/>
    <tableColumn id="11" xr3:uid="{00000000-0010-0000-0200-00000B000000}" name="criticality"/>
    <tableColumn id="12" xr3:uid="{00000000-0010-0000-0200-00000C000000}" name="current_level"/>
    <tableColumn id="13" xr3:uid="{00000000-0010-0000-0200-00000D000000}" name="gap"/>
    <tableColumn id="14" xr3:uid="{00000000-0010-0000-0200-00000E000000}" name="gap_severity"/>
    <tableColumn id="15" xr3:uid="{00000000-0010-0000-0200-00000F000000}" name="criticality_weight"/>
    <tableColumn id="16" xr3:uid="{00000000-0010-0000-0200-000010000000}" name="priority_score"/>
    <tableColumn id="17" xr3:uid="{00000000-0010-0000-0200-000011000000}" name="readiness_status"/>
    <tableColumn id="18" xr3:uid="{00000000-0010-0000-0200-000012000000}" name="evidence_status"/>
    <tableColumn id="19" xr3:uid="{00000000-0010-0000-0200-000013000000}" name="assessment_date"/>
    <tableColumn id="20" xr3:uid="{00000000-0010-0000-0200-000014000000}" name="assessment_age_days"/>
    <tableColumn id="21" xr3:uid="{00000000-0010-0000-0200-000015000000}" name="assessor"/>
    <tableColumn id="22" xr3:uid="{00000000-0010-0000-0200-000016000000}" name="comments"/>
    <tableColumn id="23" xr3:uid="{00000000-0010-0000-0200-000017000000}" name="data_quality_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iningActionsTable" displayName="TrainingActionsTable" ref="A1:K59">
  <tableColumns count="11">
    <tableColumn id="1" xr3:uid="{00000000-0010-0000-0300-000001000000}" name="action_id"/>
    <tableColumn id="2" xr3:uid="{00000000-0010-0000-0300-000002000000}" name="employee_id"/>
    <tableColumn id="3" xr3:uid="{00000000-0010-0000-0300-000003000000}" name="competency_id"/>
    <tableColumn id="4" xr3:uid="{00000000-0010-0000-0300-000004000000}" name="competency_name"/>
    <tableColumn id="5" xr3:uid="{00000000-0010-0000-0300-000005000000}" name="team"/>
    <tableColumn id="6" xr3:uid="{00000000-0010-0000-0300-000006000000}" name="gap_priority_source"/>
    <tableColumn id="7" xr3:uid="{00000000-0010-0000-0300-000007000000}" name="recommended_training"/>
    <tableColumn id="8" xr3:uid="{00000000-0010-0000-0300-000008000000}" name="training_status"/>
    <tableColumn id="9" xr3:uid="{00000000-0010-0000-0300-000009000000}" name="owner"/>
    <tableColumn id="10" xr3:uid="{00000000-0010-0000-0300-00000A000000}" name="target_date"/>
    <tableColumn id="11" xr3:uid="{00000000-0010-0000-0300-00000B000000}" name="action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ssessmentHistoryTable" displayName="AssessmentHistoryTable" ref="A1:J381">
  <tableColumns count="10">
    <tableColumn id="1" xr3:uid="{00000000-0010-0000-0400-000001000000}" name="history_id"/>
    <tableColumn id="2" xr3:uid="{00000000-0010-0000-0400-000002000000}" name="employee_id"/>
    <tableColumn id="3" xr3:uid="{00000000-0010-0000-0400-000003000000}" name="competency_id"/>
    <tableColumn id="4" xr3:uid="{00000000-0010-0000-0400-000004000000}" name="review_quarter"/>
    <tableColumn id="5" xr3:uid="{00000000-0010-0000-0400-000005000000}" name="current_level"/>
    <tableColumn id="6" xr3:uid="{00000000-0010-0000-0400-000006000000}" name="required_level"/>
    <tableColumn id="7" xr3:uid="{00000000-0010-0000-0400-000007000000}" name="gap"/>
    <tableColumn id="8" xr3:uid="{00000000-0010-0000-0400-000008000000}" name="review_date"/>
    <tableColumn id="9" xr3:uid="{00000000-0010-0000-0400-000009000000}" name="evidence_status"/>
    <tableColumn id="10" xr3:uid="{00000000-0010-0000-0400-00000A000000}" name="review_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videnceLogTable" displayName="EvidenceLogTable" ref="A1:K151">
  <tableColumns count="11">
    <tableColumn id="1" xr3:uid="{00000000-0010-0000-0500-000001000000}" name="evidence_id"/>
    <tableColumn id="2" xr3:uid="{00000000-0010-0000-0500-000002000000}" name="assessment_id"/>
    <tableColumn id="3" xr3:uid="{00000000-0010-0000-0500-000003000000}" name="employee_id"/>
    <tableColumn id="4" xr3:uid="{00000000-0010-0000-0500-000004000000}" name="competency_id"/>
    <tableColumn id="5" xr3:uid="{00000000-0010-0000-0500-000005000000}" name="evidence_type"/>
    <tableColumn id="6" xr3:uid="{00000000-0010-0000-0500-000006000000}" name="submitted_date"/>
    <tableColumn id="7" xr3:uid="{00000000-0010-0000-0500-000007000000}" name="verification_status"/>
    <tableColumn id="8" xr3:uid="{00000000-0010-0000-0500-000008000000}" name="verified_by"/>
    <tableColumn id="9" xr3:uid="{00000000-0010-0000-0500-000009000000}" name="file_reference"/>
    <tableColumn id="10" xr3:uid="{00000000-0010-0000-0500-00000A000000}" name="quality_score"/>
    <tableColumn id="11" xr3:uid="{00000000-0010-0000-0500-00000B000000}" name="evidence_iss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ccessAuditTable" displayName="AccessAuditTable" ref="A1:K37">
  <tableColumns count="11">
    <tableColumn id="1" xr3:uid="{00000000-0010-0000-0600-000001000000}" name="audit_id"/>
    <tableColumn id="2" xr3:uid="{00000000-0010-0000-0600-000002000000}" name="employee_id"/>
    <tableColumn id="3" xr3:uid="{00000000-0010-0000-0600-000003000000}" name="employee_name"/>
    <tableColumn id="4" xr3:uid="{00000000-0010-0000-0600-000004000000}" name="team"/>
    <tableColumn id="5" xr3:uid="{00000000-0010-0000-0600-000005000000}" name="permission_role"/>
    <tableColumn id="6" xr3:uid="{00000000-0010-0000-0600-000006000000}" name="tool_access"/>
    <tableColumn id="7" xr3:uid="{00000000-0010-0000-0600-000007000000}" name="last_login"/>
    <tableColumn id="8" xr3:uid="{00000000-0010-0000-0600-000008000000}" name="access_issue"/>
    <tableColumn id="9" xr3:uid="{00000000-0010-0000-0600-000009000000}" name="ticket_status"/>
    <tableColumn id="10" xr3:uid="{00000000-0010-0000-0600-00000A000000}" name="ticket_age_days"/>
    <tableColumn id="11" xr3:uid="{00000000-0010-0000-0600-00000B000000}" name="resolution_own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mpetencyTargetsTable" displayName="CompetencyTargetsTable" ref="A1:J39">
  <tableColumns count="10">
    <tableColumn id="1" xr3:uid="{00000000-0010-0000-0700-000001000000}" name="target_id"/>
    <tableColumn id="2" xr3:uid="{00000000-0010-0000-0700-000002000000}" name="team"/>
    <tableColumn id="3" xr3:uid="{00000000-0010-0000-0700-000003000000}" name="competency_area"/>
    <tableColumn id="4" xr3:uid="{00000000-0010-0000-0700-000004000000}" name="target_readiness_rate"/>
    <tableColumn id="5" xr3:uid="{00000000-0010-0000-0700-000005000000}" name="review_cycle"/>
    <tableColumn id="6" xr3:uid="{00000000-0010-0000-0700-000006000000}" name="owner"/>
    <tableColumn id="7" xr3:uid="{00000000-0010-0000-0700-000007000000}" name="status"/>
    <tableColumn id="8" xr3:uid="{00000000-0010-0000-0700-000008000000}" name="target_note"/>
    <tableColumn id="9" xr3:uid="{00000000-0010-0000-0700-000009000000}" name="actual_readiness_rate"/>
    <tableColumn id="10" xr3:uid="{00000000-0010-0000-0700-00000A000000}" name="variance_to_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defaultRowHeight="13.5"/>
  <cols>
    <col min="1" max="1" width="26" customWidth="1"/>
    <col min="2" max="2" width="105" customWidth="1"/>
  </cols>
  <sheetData>
    <row r="1" spans="1:8" ht="28.05" customHeight="1">
      <c r="A1" s="37" t="s">
        <v>0</v>
      </c>
      <c r="B1" s="38"/>
      <c r="C1" s="38"/>
      <c r="D1" s="38"/>
      <c r="E1" s="38"/>
      <c r="F1" s="38"/>
      <c r="G1" s="38"/>
      <c r="H1" s="38"/>
    </row>
    <row r="2" spans="1:8" ht="13.9">
      <c r="A2" s="39" t="s">
        <v>1</v>
      </c>
      <c r="B2" s="38"/>
      <c r="C2" s="38"/>
      <c r="D2" s="38"/>
      <c r="E2" s="38"/>
      <c r="F2" s="38"/>
      <c r="G2" s="38"/>
      <c r="H2" s="38"/>
    </row>
    <row r="4" spans="1:8" ht="15" customHeight="1">
      <c r="A4" s="9" t="s">
        <v>2</v>
      </c>
      <c r="B4" s="10" t="s">
        <v>3</v>
      </c>
    </row>
    <row r="5" spans="1:8" ht="28.05" customHeight="1">
      <c r="A5" s="11" t="s">
        <v>4</v>
      </c>
      <c r="B5" s="12" t="s">
        <v>5</v>
      </c>
    </row>
    <row r="6" spans="1:8" ht="28.05" customHeight="1">
      <c r="A6" s="11" t="s">
        <v>6</v>
      </c>
      <c r="B6" s="12" t="s">
        <v>7</v>
      </c>
    </row>
    <row r="7" spans="1:8" ht="28.05" customHeight="1">
      <c r="A7" s="11" t="s">
        <v>8</v>
      </c>
      <c r="B7" s="12" t="s">
        <v>9</v>
      </c>
    </row>
    <row r="8" spans="1:8" ht="28.05" customHeight="1">
      <c r="A8" s="11" t="s">
        <v>10</v>
      </c>
      <c r="B8" s="12" t="s">
        <v>11</v>
      </c>
    </row>
    <row r="9" spans="1:8" ht="28.05" customHeight="1">
      <c r="A9" s="11" t="s">
        <v>12</v>
      </c>
      <c r="B9" s="12" t="s">
        <v>13</v>
      </c>
    </row>
    <row r="10" spans="1:8" ht="28.05" customHeight="1">
      <c r="A10" s="11" t="s">
        <v>14</v>
      </c>
      <c r="B10" s="12" t="s">
        <v>15</v>
      </c>
    </row>
    <row r="11" spans="1:8" ht="28.05" customHeight="1">
      <c r="A11" s="11" t="s">
        <v>16</v>
      </c>
      <c r="B11" s="12" t="s">
        <v>17</v>
      </c>
    </row>
    <row r="12" spans="1:8" ht="28.05" customHeight="1">
      <c r="A12" s="11" t="s">
        <v>18</v>
      </c>
      <c r="B12" s="12" t="s">
        <v>19</v>
      </c>
    </row>
    <row r="13" spans="1:8" ht="28.05" customHeight="1">
      <c r="A13" s="11" t="s">
        <v>20</v>
      </c>
      <c r="B13" s="12" t="s">
        <v>21</v>
      </c>
    </row>
    <row r="14" spans="1:8" ht="28.05" customHeight="1">
      <c r="A14" s="11" t="s">
        <v>22</v>
      </c>
      <c r="B14" s="12" t="s">
        <v>23</v>
      </c>
    </row>
    <row r="15" spans="1:8" ht="28.05" customHeight="1">
      <c r="A15" s="11" t="s">
        <v>24</v>
      </c>
      <c r="B15" s="12" t="s">
        <v>25</v>
      </c>
    </row>
    <row r="16" spans="1:8" ht="28.05" customHeight="1">
      <c r="A16" s="11" t="s">
        <v>26</v>
      </c>
      <c r="B16" s="12" t="s">
        <v>27</v>
      </c>
    </row>
    <row r="17" spans="1:2" ht="28.05" customHeight="1">
      <c r="A17" s="11" t="s">
        <v>28</v>
      </c>
      <c r="B17" s="12" t="s">
        <v>29</v>
      </c>
    </row>
    <row r="18" spans="1:2" ht="15" customHeight="1">
      <c r="A18" s="11" t="s">
        <v>30</v>
      </c>
      <c r="B18" s="12" t="s">
        <v>31</v>
      </c>
    </row>
    <row r="19" spans="1:2" ht="15" customHeight="1">
      <c r="A19" s="11" t="s">
        <v>32</v>
      </c>
      <c r="B19" s="12" t="s">
        <v>33</v>
      </c>
    </row>
    <row r="20" spans="1:2" ht="15" customHeight="1">
      <c r="A20" s="13" t="s">
        <v>34</v>
      </c>
      <c r="B20" s="14" t="s">
        <v>35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showGridLines="0" topLeftCell="A3" workbookViewId="0">
      <selection activeCell="E1" sqref="E1"/>
    </sheetView>
  </sheetViews>
  <sheetFormatPr defaultRowHeight="13.5"/>
  <cols>
    <col min="1" max="1" width="10.375" customWidth="1"/>
    <col min="2" max="2" width="20.625" customWidth="1"/>
    <col min="3" max="3" width="16.125" customWidth="1"/>
    <col min="4" max="4" width="19.75" customWidth="1"/>
    <col min="5" max="5" width="16.8125" customWidth="1"/>
    <col min="6" max="6" width="19.5625" customWidth="1"/>
    <col min="7" max="7" width="6.625" customWidth="1"/>
    <col min="8" max="8" width="12" customWidth="1"/>
    <col min="9" max="9" width="10.375" customWidth="1"/>
  </cols>
  <sheetData>
    <row r="1" spans="1:9" ht="15" customHeight="1">
      <c r="A1" s="9" t="s">
        <v>37</v>
      </c>
      <c r="B1" s="18" t="s">
        <v>38</v>
      </c>
      <c r="C1" s="18" t="s">
        <v>39</v>
      </c>
      <c r="D1" s="18" t="s">
        <v>40</v>
      </c>
      <c r="E1" s="18" t="s">
        <v>41</v>
      </c>
      <c r="F1" s="18" t="s">
        <v>42</v>
      </c>
      <c r="G1" s="18" t="s">
        <v>43</v>
      </c>
      <c r="H1" s="18" t="s">
        <v>44</v>
      </c>
      <c r="I1" s="10" t="s">
        <v>45</v>
      </c>
    </row>
    <row r="2" spans="1:9" ht="15" customHeight="1">
      <c r="A2" s="5" t="s">
        <v>46</v>
      </c>
      <c r="B2" s="16" t="s">
        <v>47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36</v>
      </c>
      <c r="H2" s="16" t="s">
        <v>52</v>
      </c>
      <c r="I2" s="19">
        <v>45486.264440381943</v>
      </c>
    </row>
    <row r="3" spans="1:9" ht="15" customHeight="1">
      <c r="A3" s="5" t="s">
        <v>53</v>
      </c>
      <c r="B3" s="16" t="s">
        <v>54</v>
      </c>
      <c r="C3" s="16" t="s">
        <v>49</v>
      </c>
      <c r="D3" s="16" t="s">
        <v>55</v>
      </c>
      <c r="E3" s="16" t="s">
        <v>56</v>
      </c>
      <c r="F3" s="16" t="s">
        <v>57</v>
      </c>
      <c r="G3" s="16" t="s">
        <v>36</v>
      </c>
      <c r="H3" s="16" t="s">
        <v>52</v>
      </c>
      <c r="I3" s="19">
        <v>45915.749951134261</v>
      </c>
    </row>
    <row r="4" spans="1:9" ht="15" customHeight="1">
      <c r="A4" s="5" t="s">
        <v>58</v>
      </c>
      <c r="B4" s="16" t="s">
        <v>59</v>
      </c>
      <c r="C4" s="16" t="s">
        <v>48</v>
      </c>
      <c r="D4" s="16" t="s">
        <v>49</v>
      </c>
      <c r="E4" s="16" t="s">
        <v>56</v>
      </c>
      <c r="F4" s="16" t="s">
        <v>51</v>
      </c>
      <c r="G4" s="16" t="s">
        <v>36</v>
      </c>
      <c r="H4" s="16" t="s">
        <v>52</v>
      </c>
      <c r="I4" s="19">
        <v>44796.186479097225</v>
      </c>
    </row>
    <row r="5" spans="1:9" ht="15" customHeight="1">
      <c r="A5" s="5" t="s">
        <v>60</v>
      </c>
      <c r="B5" s="16" t="s">
        <v>61</v>
      </c>
      <c r="C5" s="16" t="s">
        <v>62</v>
      </c>
      <c r="D5" s="16" t="s">
        <v>63</v>
      </c>
      <c r="E5" s="16" t="s">
        <v>56</v>
      </c>
      <c r="F5" s="16" t="s">
        <v>51</v>
      </c>
      <c r="G5" s="16" t="s">
        <v>36</v>
      </c>
      <c r="H5" s="16" t="s">
        <v>52</v>
      </c>
      <c r="I5" s="19">
        <v>45478.276105949073</v>
      </c>
    </row>
    <row r="6" spans="1:9" ht="15" customHeight="1">
      <c r="A6" s="5" t="s">
        <v>64</v>
      </c>
      <c r="B6" s="16" t="s">
        <v>65</v>
      </c>
      <c r="C6" s="16" t="s">
        <v>49</v>
      </c>
      <c r="D6" s="16" t="s">
        <v>66</v>
      </c>
      <c r="E6" s="16" t="s">
        <v>50</v>
      </c>
      <c r="F6" s="16" t="s">
        <v>67</v>
      </c>
      <c r="G6" s="16" t="s">
        <v>36</v>
      </c>
      <c r="H6" s="16" t="s">
        <v>52</v>
      </c>
      <c r="I6" s="19">
        <v>44900.812527118054</v>
      </c>
    </row>
    <row r="7" spans="1:9" ht="15" customHeight="1">
      <c r="A7" s="5" t="s">
        <v>68</v>
      </c>
      <c r="B7" s="16" t="s">
        <v>69</v>
      </c>
      <c r="C7" s="16" t="s">
        <v>62</v>
      </c>
      <c r="D7" s="16" t="s">
        <v>70</v>
      </c>
      <c r="E7" s="16" t="s">
        <v>50</v>
      </c>
      <c r="F7" s="16" t="s">
        <v>57</v>
      </c>
      <c r="G7" s="16" t="s">
        <v>36</v>
      </c>
      <c r="H7" s="16" t="s">
        <v>52</v>
      </c>
      <c r="I7" s="19">
        <v>45006.612692465278</v>
      </c>
    </row>
    <row r="8" spans="1:9" ht="15" customHeight="1">
      <c r="A8" s="5" t="s">
        <v>71</v>
      </c>
      <c r="B8" s="16" t="s">
        <v>72</v>
      </c>
      <c r="C8" s="16" t="s">
        <v>48</v>
      </c>
      <c r="D8" s="16" t="s">
        <v>55</v>
      </c>
      <c r="E8" s="16" t="s">
        <v>73</v>
      </c>
      <c r="F8" s="16" t="s">
        <v>67</v>
      </c>
      <c r="G8" s="16" t="s">
        <v>36</v>
      </c>
      <c r="H8" s="16" t="s">
        <v>52</v>
      </c>
      <c r="I8" s="19">
        <v>45285.260946851849</v>
      </c>
    </row>
    <row r="9" spans="1:9" ht="15" customHeight="1">
      <c r="A9" s="5" t="s">
        <v>74</v>
      </c>
      <c r="B9" s="16" t="s">
        <v>75</v>
      </c>
      <c r="C9" s="16" t="s">
        <v>76</v>
      </c>
      <c r="D9" s="16" t="s">
        <v>49</v>
      </c>
      <c r="E9" s="16" t="s">
        <v>56</v>
      </c>
      <c r="F9" s="16" t="s">
        <v>77</v>
      </c>
      <c r="G9" s="16" t="s">
        <v>36</v>
      </c>
      <c r="H9" s="16" t="s">
        <v>52</v>
      </c>
      <c r="I9" s="19">
        <v>44900.665670798611</v>
      </c>
    </row>
    <row r="10" spans="1:9" ht="15" customHeight="1">
      <c r="A10" s="5" t="s">
        <v>78</v>
      </c>
      <c r="B10" s="16" t="s">
        <v>79</v>
      </c>
      <c r="C10" s="16" t="s">
        <v>49</v>
      </c>
      <c r="D10" s="16" t="s">
        <v>66</v>
      </c>
      <c r="E10" s="16" t="s">
        <v>80</v>
      </c>
      <c r="F10" s="16" t="s">
        <v>57</v>
      </c>
      <c r="G10" s="16" t="s">
        <v>36</v>
      </c>
      <c r="H10" s="16" t="s">
        <v>52</v>
      </c>
      <c r="I10" s="19">
        <v>44917.428421053242</v>
      </c>
    </row>
    <row r="11" spans="1:9" ht="15" customHeight="1">
      <c r="A11" s="5" t="s">
        <v>81</v>
      </c>
      <c r="B11" s="16" t="s">
        <v>82</v>
      </c>
      <c r="C11" s="16" t="s">
        <v>76</v>
      </c>
      <c r="D11" s="16" t="s">
        <v>55</v>
      </c>
      <c r="E11" s="16" t="s">
        <v>50</v>
      </c>
      <c r="F11" s="16" t="s">
        <v>83</v>
      </c>
      <c r="G11" s="16" t="s">
        <v>36</v>
      </c>
      <c r="H11" s="16" t="s">
        <v>52</v>
      </c>
      <c r="I11" s="19">
        <v>45883.025571319442</v>
      </c>
    </row>
    <row r="12" spans="1:9" ht="15" customHeight="1">
      <c r="A12" s="5" t="s">
        <v>84</v>
      </c>
      <c r="B12" s="16" t="s">
        <v>85</v>
      </c>
      <c r="C12" s="16" t="s">
        <v>49</v>
      </c>
      <c r="D12" s="16" t="s">
        <v>70</v>
      </c>
      <c r="E12" s="16" t="s">
        <v>80</v>
      </c>
      <c r="F12" s="16" t="s">
        <v>86</v>
      </c>
      <c r="G12" s="16" t="s">
        <v>36</v>
      </c>
      <c r="H12" s="16" t="s">
        <v>52</v>
      </c>
      <c r="I12" s="19">
        <v>45508.802452766206</v>
      </c>
    </row>
    <row r="13" spans="1:9" ht="15" customHeight="1">
      <c r="A13" s="5" t="s">
        <v>87</v>
      </c>
      <c r="B13" s="16" t="s">
        <v>88</v>
      </c>
      <c r="C13" s="16" t="s">
        <v>49</v>
      </c>
      <c r="D13" s="16" t="s">
        <v>66</v>
      </c>
      <c r="E13" s="16" t="s">
        <v>73</v>
      </c>
      <c r="F13" s="16" t="s">
        <v>86</v>
      </c>
      <c r="G13" s="16" t="s">
        <v>36</v>
      </c>
      <c r="H13" s="16" t="s">
        <v>52</v>
      </c>
      <c r="I13" s="19">
        <v>45935.779994745368</v>
      </c>
    </row>
    <row r="14" spans="1:9" ht="15" customHeight="1">
      <c r="A14" s="5" t="s">
        <v>89</v>
      </c>
      <c r="B14" s="16" t="s">
        <v>90</v>
      </c>
      <c r="C14" s="16" t="s">
        <v>91</v>
      </c>
      <c r="D14" s="16" t="s">
        <v>66</v>
      </c>
      <c r="E14" s="16" t="s">
        <v>56</v>
      </c>
      <c r="F14" s="16" t="s">
        <v>86</v>
      </c>
      <c r="G14" s="16" t="s">
        <v>36</v>
      </c>
      <c r="H14" s="16" t="s">
        <v>92</v>
      </c>
      <c r="I14" s="19">
        <v>45289.273865358795</v>
      </c>
    </row>
    <row r="15" spans="1:9" ht="15" customHeight="1">
      <c r="A15" s="5" t="s">
        <v>93</v>
      </c>
      <c r="B15" s="16" t="s">
        <v>94</v>
      </c>
      <c r="C15" s="16" t="s">
        <v>76</v>
      </c>
      <c r="D15" s="16" t="s">
        <v>70</v>
      </c>
      <c r="E15" s="16" t="s">
        <v>80</v>
      </c>
      <c r="F15" s="16" t="s">
        <v>51</v>
      </c>
      <c r="G15" s="16" t="s">
        <v>36</v>
      </c>
      <c r="H15" s="16" t="s">
        <v>52</v>
      </c>
      <c r="I15" s="19">
        <v>45142.32611209491</v>
      </c>
    </row>
    <row r="16" spans="1:9" ht="15" customHeight="1">
      <c r="A16" s="5" t="s">
        <v>95</v>
      </c>
      <c r="B16" s="16" t="s">
        <v>96</v>
      </c>
      <c r="C16" s="16" t="s">
        <v>97</v>
      </c>
      <c r="D16" s="16" t="s">
        <v>70</v>
      </c>
      <c r="E16" s="16" t="s">
        <v>73</v>
      </c>
      <c r="F16" s="16" t="s">
        <v>86</v>
      </c>
      <c r="G16" s="16" t="s">
        <v>36</v>
      </c>
      <c r="H16" s="16" t="s">
        <v>52</v>
      </c>
      <c r="I16" s="19">
        <v>45429.949302499997</v>
      </c>
    </row>
    <row r="17" spans="1:9" ht="15" customHeight="1">
      <c r="A17" s="5" t="s">
        <v>98</v>
      </c>
      <c r="B17" s="16" t="s">
        <v>99</v>
      </c>
      <c r="C17" s="16" t="s">
        <v>91</v>
      </c>
      <c r="D17" s="16" t="s">
        <v>66</v>
      </c>
      <c r="E17" s="16" t="s">
        <v>50</v>
      </c>
      <c r="F17" s="16" t="s">
        <v>77</v>
      </c>
      <c r="G17" s="16" t="s">
        <v>36</v>
      </c>
      <c r="H17" s="16" t="s">
        <v>52</v>
      </c>
      <c r="I17" s="19">
        <v>45786.183164710645</v>
      </c>
    </row>
    <row r="18" spans="1:9" ht="15" customHeight="1">
      <c r="A18" s="5" t="s">
        <v>100</v>
      </c>
      <c r="B18" s="16" t="s">
        <v>101</v>
      </c>
      <c r="C18" s="16" t="s">
        <v>49</v>
      </c>
      <c r="D18" s="16" t="s">
        <v>49</v>
      </c>
      <c r="E18" s="16" t="s">
        <v>50</v>
      </c>
      <c r="F18" s="16" t="s">
        <v>86</v>
      </c>
      <c r="G18" s="16" t="s">
        <v>36</v>
      </c>
      <c r="H18" s="16" t="s">
        <v>52</v>
      </c>
      <c r="I18" s="19">
        <v>45398.963728182869</v>
      </c>
    </row>
    <row r="19" spans="1:9" ht="15" customHeight="1">
      <c r="A19" s="5" t="s">
        <v>102</v>
      </c>
      <c r="B19" s="16" t="s">
        <v>103</v>
      </c>
      <c r="C19" s="16" t="s">
        <v>48</v>
      </c>
      <c r="D19" s="16" t="s">
        <v>55</v>
      </c>
      <c r="E19" s="16" t="s">
        <v>50</v>
      </c>
      <c r="F19" s="16" t="s">
        <v>67</v>
      </c>
      <c r="G19" s="16" t="s">
        <v>36</v>
      </c>
      <c r="H19" s="16" t="s">
        <v>52</v>
      </c>
      <c r="I19" s="19">
        <v>46125.804964224539</v>
      </c>
    </row>
    <row r="20" spans="1:9" ht="15" customHeight="1">
      <c r="A20" s="5" t="s">
        <v>104</v>
      </c>
      <c r="B20" s="16" t="s">
        <v>105</v>
      </c>
      <c r="C20" s="16" t="s">
        <v>62</v>
      </c>
      <c r="D20" s="16" t="s">
        <v>66</v>
      </c>
      <c r="E20" s="16" t="s">
        <v>50</v>
      </c>
      <c r="F20" s="16" t="s">
        <v>51</v>
      </c>
      <c r="G20" s="16" t="s">
        <v>36</v>
      </c>
      <c r="H20" s="16" t="s">
        <v>52</v>
      </c>
      <c r="I20" s="19">
        <v>44641.292926712966</v>
      </c>
    </row>
    <row r="21" spans="1:9" ht="15" customHeight="1">
      <c r="A21" s="5" t="s">
        <v>106</v>
      </c>
      <c r="B21" s="16" t="s">
        <v>107</v>
      </c>
      <c r="C21" s="16" t="s">
        <v>49</v>
      </c>
      <c r="D21" s="16" t="s">
        <v>70</v>
      </c>
      <c r="E21" s="16" t="s">
        <v>56</v>
      </c>
      <c r="F21" s="16" t="s">
        <v>57</v>
      </c>
      <c r="G21" s="16" t="s">
        <v>36</v>
      </c>
      <c r="H21" s="16" t="s">
        <v>52</v>
      </c>
      <c r="I21" s="19">
        <v>45236.392392604168</v>
      </c>
    </row>
    <row r="22" spans="1:9" ht="15" customHeight="1">
      <c r="A22" s="5" t="s">
        <v>108</v>
      </c>
      <c r="B22" s="16" t="s">
        <v>109</v>
      </c>
      <c r="C22" s="16" t="s">
        <v>48</v>
      </c>
      <c r="D22" s="16" t="s">
        <v>55</v>
      </c>
      <c r="E22" s="16" t="s">
        <v>80</v>
      </c>
      <c r="F22" s="16" t="s">
        <v>67</v>
      </c>
      <c r="G22" s="16" t="s">
        <v>36</v>
      </c>
      <c r="H22" s="16" t="s">
        <v>52</v>
      </c>
      <c r="I22" s="19">
        <v>45839.56600269676</v>
      </c>
    </row>
    <row r="23" spans="1:9" ht="15" customHeight="1">
      <c r="A23" s="5" t="s">
        <v>110</v>
      </c>
      <c r="B23" s="16" t="s">
        <v>111</v>
      </c>
      <c r="C23" s="16" t="s">
        <v>76</v>
      </c>
      <c r="D23" s="16" t="s">
        <v>66</v>
      </c>
      <c r="E23" s="16" t="s">
        <v>50</v>
      </c>
      <c r="F23" s="16" t="s">
        <v>83</v>
      </c>
      <c r="G23" s="16" t="s">
        <v>36</v>
      </c>
      <c r="H23" s="16" t="s">
        <v>92</v>
      </c>
      <c r="I23" s="19">
        <v>44689.705902118054</v>
      </c>
    </row>
    <row r="24" spans="1:9" ht="15" customHeight="1">
      <c r="A24" s="5" t="s">
        <v>112</v>
      </c>
      <c r="B24" s="16" t="s">
        <v>113</v>
      </c>
      <c r="C24" s="16" t="s">
        <v>76</v>
      </c>
      <c r="D24" s="16" t="s">
        <v>63</v>
      </c>
      <c r="E24" s="16" t="s">
        <v>50</v>
      </c>
      <c r="F24" s="16" t="s">
        <v>57</v>
      </c>
      <c r="G24" s="16" t="s">
        <v>36</v>
      </c>
      <c r="H24" s="16" t="s">
        <v>52</v>
      </c>
      <c r="I24" s="19">
        <v>45526.877881064815</v>
      </c>
    </row>
    <row r="25" spans="1:9" ht="15" customHeight="1">
      <c r="A25" s="5" t="s">
        <v>114</v>
      </c>
      <c r="B25" s="16" t="s">
        <v>115</v>
      </c>
      <c r="C25" s="16" t="s">
        <v>91</v>
      </c>
      <c r="D25" s="16" t="s">
        <v>55</v>
      </c>
      <c r="E25" s="16" t="s">
        <v>50</v>
      </c>
      <c r="F25" s="16" t="s">
        <v>77</v>
      </c>
      <c r="G25" s="16" t="s">
        <v>36</v>
      </c>
      <c r="H25" s="16" t="s">
        <v>52</v>
      </c>
      <c r="I25" s="19">
        <v>45490.878015347225</v>
      </c>
    </row>
    <row r="26" spans="1:9" ht="15" customHeight="1">
      <c r="A26" s="5" t="s">
        <v>116</v>
      </c>
      <c r="B26" s="16" t="s">
        <v>117</v>
      </c>
      <c r="C26" s="16" t="s">
        <v>76</v>
      </c>
      <c r="D26" s="16" t="s">
        <v>70</v>
      </c>
      <c r="E26" s="16" t="s">
        <v>80</v>
      </c>
      <c r="F26" s="16" t="s">
        <v>57</v>
      </c>
      <c r="G26" s="16" t="s">
        <v>36</v>
      </c>
      <c r="H26" s="16" t="s">
        <v>52</v>
      </c>
      <c r="I26" s="19">
        <v>45252.601807060186</v>
      </c>
    </row>
    <row r="27" spans="1:9" ht="15" customHeight="1">
      <c r="A27" s="5" t="s">
        <v>118</v>
      </c>
      <c r="B27" s="16" t="s">
        <v>119</v>
      </c>
      <c r="C27" s="16" t="s">
        <v>62</v>
      </c>
      <c r="D27" s="16" t="s">
        <v>63</v>
      </c>
      <c r="E27" s="16" t="s">
        <v>50</v>
      </c>
      <c r="F27" s="16" t="s">
        <v>86</v>
      </c>
      <c r="G27" s="16" t="s">
        <v>36</v>
      </c>
      <c r="H27" s="16" t="s">
        <v>52</v>
      </c>
      <c r="I27" s="19">
        <v>45015.225825196758</v>
      </c>
    </row>
    <row r="28" spans="1:9" ht="15" customHeight="1">
      <c r="A28" s="5" t="s">
        <v>120</v>
      </c>
      <c r="B28" s="16" t="s">
        <v>121</v>
      </c>
      <c r="C28" s="16" t="s">
        <v>62</v>
      </c>
      <c r="D28" s="16" t="s">
        <v>70</v>
      </c>
      <c r="E28" s="16" t="s">
        <v>56</v>
      </c>
      <c r="F28" s="16" t="s">
        <v>51</v>
      </c>
      <c r="G28" s="16" t="s">
        <v>36</v>
      </c>
      <c r="H28" s="16" t="s">
        <v>52</v>
      </c>
      <c r="I28" s="19">
        <v>45357.201846238429</v>
      </c>
    </row>
    <row r="29" spans="1:9" ht="15" customHeight="1">
      <c r="A29" s="5" t="s">
        <v>122</v>
      </c>
      <c r="B29" s="16" t="s">
        <v>123</v>
      </c>
      <c r="C29" s="16" t="s">
        <v>91</v>
      </c>
      <c r="D29" s="16" t="s">
        <v>63</v>
      </c>
      <c r="E29" s="16" t="s">
        <v>56</v>
      </c>
      <c r="F29" s="16" t="s">
        <v>83</v>
      </c>
      <c r="G29" s="16" t="s">
        <v>36</v>
      </c>
      <c r="H29" s="16" t="s">
        <v>52</v>
      </c>
      <c r="I29" s="19">
        <v>45012.063494849535</v>
      </c>
    </row>
    <row r="30" spans="1:9" ht="15" customHeight="1">
      <c r="A30" s="5" t="s">
        <v>124</v>
      </c>
      <c r="B30" s="16" t="s">
        <v>125</v>
      </c>
      <c r="C30" s="16" t="s">
        <v>97</v>
      </c>
      <c r="D30" s="16" t="s">
        <v>63</v>
      </c>
      <c r="E30" s="16" t="s">
        <v>50</v>
      </c>
      <c r="F30" s="16" t="s">
        <v>77</v>
      </c>
      <c r="G30" s="16" t="s">
        <v>36</v>
      </c>
      <c r="H30" s="16" t="s">
        <v>52</v>
      </c>
      <c r="I30" s="19">
        <v>45071.045384456018</v>
      </c>
    </row>
    <row r="31" spans="1:9" ht="15" customHeight="1">
      <c r="A31" s="5" t="s">
        <v>126</v>
      </c>
      <c r="B31" s="16" t="s">
        <v>127</v>
      </c>
      <c r="C31" s="16" t="s">
        <v>48</v>
      </c>
      <c r="D31" s="16" t="s">
        <v>66</v>
      </c>
      <c r="E31" s="16" t="s">
        <v>73</v>
      </c>
      <c r="F31" s="16" t="s">
        <v>86</v>
      </c>
      <c r="G31" s="16" t="s">
        <v>36</v>
      </c>
      <c r="H31" s="16" t="s">
        <v>52</v>
      </c>
      <c r="I31" s="19">
        <v>45379.514757847224</v>
      </c>
    </row>
    <row r="32" spans="1:9" ht="15" customHeight="1">
      <c r="A32" s="5" t="s">
        <v>128</v>
      </c>
      <c r="B32" s="16" t="s">
        <v>101</v>
      </c>
      <c r="C32" s="16" t="s">
        <v>97</v>
      </c>
      <c r="D32" s="16" t="s">
        <v>66</v>
      </c>
      <c r="E32" s="16" t="s">
        <v>56</v>
      </c>
      <c r="F32" s="16" t="s">
        <v>83</v>
      </c>
      <c r="G32" s="16" t="s">
        <v>36</v>
      </c>
      <c r="H32" s="16" t="s">
        <v>92</v>
      </c>
      <c r="I32" s="19">
        <v>45775.215627881946</v>
      </c>
    </row>
    <row r="33" spans="1:9" ht="15" customHeight="1">
      <c r="A33" s="5" t="s">
        <v>129</v>
      </c>
      <c r="B33" s="16" t="s">
        <v>130</v>
      </c>
      <c r="C33" s="16" t="s">
        <v>62</v>
      </c>
      <c r="D33" s="16" t="s">
        <v>66</v>
      </c>
      <c r="E33" s="16" t="s">
        <v>80</v>
      </c>
      <c r="F33" s="16" t="s">
        <v>57</v>
      </c>
      <c r="G33" s="16" t="s">
        <v>36</v>
      </c>
      <c r="H33" s="16" t="s">
        <v>52</v>
      </c>
      <c r="I33" s="19">
        <v>45844.325418020831</v>
      </c>
    </row>
    <row r="34" spans="1:9" ht="15" customHeight="1">
      <c r="A34" s="5" t="s">
        <v>131</v>
      </c>
      <c r="B34" s="16" t="s">
        <v>132</v>
      </c>
      <c r="C34" s="16" t="s">
        <v>97</v>
      </c>
      <c r="D34" s="16" t="s">
        <v>49</v>
      </c>
      <c r="E34" s="16" t="s">
        <v>50</v>
      </c>
      <c r="F34" s="16" t="s">
        <v>77</v>
      </c>
      <c r="G34" s="16" t="s">
        <v>36</v>
      </c>
      <c r="H34" s="16" t="s">
        <v>52</v>
      </c>
      <c r="I34" s="19">
        <v>44776.32410302083</v>
      </c>
    </row>
    <row r="35" spans="1:9" ht="15" customHeight="1">
      <c r="A35" s="5" t="s">
        <v>133</v>
      </c>
      <c r="B35" s="16" t="s">
        <v>109</v>
      </c>
      <c r="C35" s="16" t="s">
        <v>62</v>
      </c>
      <c r="D35" s="16" t="s">
        <v>55</v>
      </c>
      <c r="E35" s="16" t="s">
        <v>73</v>
      </c>
      <c r="F35" s="16" t="s">
        <v>57</v>
      </c>
      <c r="G35" s="16" t="s">
        <v>36</v>
      </c>
      <c r="H35" s="16" t="s">
        <v>92</v>
      </c>
      <c r="I35" s="19">
        <v>46060.675849513886</v>
      </c>
    </row>
    <row r="36" spans="1:9" ht="15" customHeight="1">
      <c r="A36" s="5" t="s">
        <v>134</v>
      </c>
      <c r="B36" s="16" t="s">
        <v>135</v>
      </c>
      <c r="C36" s="16" t="s">
        <v>62</v>
      </c>
      <c r="D36" s="16" t="s">
        <v>63</v>
      </c>
      <c r="E36" s="16" t="s">
        <v>73</v>
      </c>
      <c r="F36" s="16" t="s">
        <v>77</v>
      </c>
      <c r="G36" s="16" t="s">
        <v>36</v>
      </c>
      <c r="H36" s="16" t="s">
        <v>52</v>
      </c>
      <c r="I36" s="19">
        <v>44891.323156666665</v>
      </c>
    </row>
    <row r="37" spans="1:9" ht="15" customHeight="1">
      <c r="A37" s="7" t="s">
        <v>136</v>
      </c>
      <c r="B37" s="17" t="s">
        <v>137</v>
      </c>
      <c r="C37" s="17" t="s">
        <v>48</v>
      </c>
      <c r="D37" s="17" t="s">
        <v>66</v>
      </c>
      <c r="E37" s="17" t="s">
        <v>73</v>
      </c>
      <c r="F37" s="17" t="s">
        <v>67</v>
      </c>
      <c r="G37" s="17" t="s">
        <v>36</v>
      </c>
      <c r="H37" s="17" t="s">
        <v>52</v>
      </c>
      <c r="I37" s="20">
        <v>45708.993496782408</v>
      </c>
    </row>
  </sheetData>
  <dataValidations count="1">
    <dataValidation type="list" sqref="H2:H37" xr:uid="{00000000-0002-0000-0200-000000000000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showGridLines="0" workbookViewId="0">
      <selection activeCell="C3" sqref="C3"/>
    </sheetView>
  </sheetViews>
  <sheetFormatPr defaultRowHeight="13.5"/>
  <cols>
    <col min="1" max="1" width="12.25" customWidth="1"/>
    <col min="2" max="2" width="34.3125" customWidth="1"/>
    <col min="3" max="3" width="21.625" customWidth="1"/>
    <col min="4" max="4" width="27.125" customWidth="1"/>
    <col min="5" max="5" width="19.75" customWidth="1"/>
    <col min="6" max="6" width="16.6875" customWidth="1"/>
    <col min="7" max="7" width="10.8125" customWidth="1"/>
  </cols>
  <sheetData>
    <row r="1" spans="1:7" ht="15" customHeight="1">
      <c r="A1" s="9" t="s">
        <v>138</v>
      </c>
      <c r="B1" s="18" t="s">
        <v>139</v>
      </c>
      <c r="C1" s="18" t="s">
        <v>140</v>
      </c>
      <c r="D1" s="18" t="s">
        <v>141</v>
      </c>
      <c r="E1" s="18" t="s">
        <v>40</v>
      </c>
      <c r="F1" s="18" t="s">
        <v>142</v>
      </c>
      <c r="G1" s="10" t="s">
        <v>143</v>
      </c>
    </row>
    <row r="2" spans="1:7" ht="15" customHeight="1">
      <c r="A2" s="5" t="s">
        <v>144</v>
      </c>
      <c r="B2" s="16" t="s">
        <v>145</v>
      </c>
      <c r="C2" s="16" t="s">
        <v>146</v>
      </c>
      <c r="D2" s="16" t="s">
        <v>147</v>
      </c>
      <c r="E2" s="16" t="s">
        <v>55</v>
      </c>
      <c r="F2" s="16">
        <v>4</v>
      </c>
      <c r="G2" s="6" t="s">
        <v>148</v>
      </c>
    </row>
    <row r="3" spans="1:7" ht="15" customHeight="1">
      <c r="A3" s="5" t="s">
        <v>149</v>
      </c>
      <c r="B3" s="16" t="s">
        <v>145</v>
      </c>
      <c r="C3" s="16" t="s">
        <v>146</v>
      </c>
      <c r="D3" s="16" t="s">
        <v>150</v>
      </c>
      <c r="E3" s="16" t="s">
        <v>55</v>
      </c>
      <c r="F3" s="16">
        <v>4</v>
      </c>
      <c r="G3" s="6" t="s">
        <v>148</v>
      </c>
    </row>
    <row r="4" spans="1:7" ht="15" customHeight="1">
      <c r="A4" s="5" t="s">
        <v>151</v>
      </c>
      <c r="B4" s="16" t="s">
        <v>145</v>
      </c>
      <c r="C4" s="16" t="s">
        <v>146</v>
      </c>
      <c r="D4" s="16" t="s">
        <v>152</v>
      </c>
      <c r="E4" s="16" t="s">
        <v>55</v>
      </c>
      <c r="F4" s="16">
        <v>3</v>
      </c>
      <c r="G4" s="6" t="s">
        <v>153</v>
      </c>
    </row>
    <row r="5" spans="1:7" ht="15" customHeight="1">
      <c r="A5" s="5" t="s">
        <v>154</v>
      </c>
      <c r="B5" s="16" t="s">
        <v>145</v>
      </c>
      <c r="C5" s="16" t="s">
        <v>155</v>
      </c>
      <c r="D5" s="16" t="s">
        <v>156</v>
      </c>
      <c r="E5" s="16" t="s">
        <v>55</v>
      </c>
      <c r="F5" s="16">
        <v>4</v>
      </c>
      <c r="G5" s="6" t="s">
        <v>148</v>
      </c>
    </row>
    <row r="6" spans="1:7" ht="15" customHeight="1">
      <c r="A6" s="5" t="s">
        <v>157</v>
      </c>
      <c r="B6" s="16" t="s">
        <v>145</v>
      </c>
      <c r="C6" s="16" t="s">
        <v>158</v>
      </c>
      <c r="D6" s="16" t="s">
        <v>159</v>
      </c>
      <c r="E6" s="16" t="s">
        <v>55</v>
      </c>
      <c r="F6" s="16">
        <v>3</v>
      </c>
      <c r="G6" s="6" t="s">
        <v>148</v>
      </c>
    </row>
    <row r="7" spans="1:7" ht="15" customHeight="1">
      <c r="A7" s="5" t="s">
        <v>160</v>
      </c>
      <c r="B7" s="16" t="s">
        <v>145</v>
      </c>
      <c r="C7" s="16" t="s">
        <v>161</v>
      </c>
      <c r="D7" s="16" t="s">
        <v>162</v>
      </c>
      <c r="E7" s="16" t="s">
        <v>55</v>
      </c>
      <c r="F7" s="16">
        <v>3</v>
      </c>
      <c r="G7" s="6" t="s">
        <v>153</v>
      </c>
    </row>
    <row r="8" spans="1:7" ht="15" customHeight="1">
      <c r="A8" s="5" t="s">
        <v>163</v>
      </c>
      <c r="B8" s="16" t="s">
        <v>145</v>
      </c>
      <c r="C8" s="16" t="s">
        <v>164</v>
      </c>
      <c r="D8" s="16" t="s">
        <v>165</v>
      </c>
      <c r="E8" s="16" t="s">
        <v>49</v>
      </c>
      <c r="F8" s="16">
        <v>4</v>
      </c>
      <c r="G8" s="6" t="s">
        <v>148</v>
      </c>
    </row>
    <row r="9" spans="1:7" ht="15" customHeight="1">
      <c r="A9" s="5" t="s">
        <v>166</v>
      </c>
      <c r="B9" s="16" t="s">
        <v>145</v>
      </c>
      <c r="C9" s="16" t="s">
        <v>167</v>
      </c>
      <c r="D9" s="16" t="s">
        <v>168</v>
      </c>
      <c r="E9" s="16" t="s">
        <v>62</v>
      </c>
      <c r="F9" s="16">
        <v>4</v>
      </c>
      <c r="G9" s="6" t="s">
        <v>148</v>
      </c>
    </row>
    <row r="10" spans="1:7" ht="15" customHeight="1">
      <c r="A10" s="5" t="s">
        <v>169</v>
      </c>
      <c r="B10" s="16" t="s">
        <v>145</v>
      </c>
      <c r="C10" s="16" t="s">
        <v>167</v>
      </c>
      <c r="D10" s="16" t="s">
        <v>170</v>
      </c>
      <c r="E10" s="16" t="s">
        <v>49</v>
      </c>
      <c r="F10" s="16">
        <v>3</v>
      </c>
      <c r="G10" s="6" t="s">
        <v>148</v>
      </c>
    </row>
    <row r="11" spans="1:7" ht="15" customHeight="1">
      <c r="A11" s="5" t="s">
        <v>171</v>
      </c>
      <c r="B11" s="16" t="s">
        <v>145</v>
      </c>
      <c r="C11" s="16" t="s">
        <v>66</v>
      </c>
      <c r="D11" s="16" t="s">
        <v>172</v>
      </c>
      <c r="E11" s="16" t="s">
        <v>66</v>
      </c>
      <c r="F11" s="16">
        <v>4</v>
      </c>
      <c r="G11" s="6" t="s">
        <v>148</v>
      </c>
    </row>
    <row r="12" spans="1:7" ht="15" customHeight="1">
      <c r="A12" s="5" t="s">
        <v>173</v>
      </c>
      <c r="B12" s="16" t="s">
        <v>145</v>
      </c>
      <c r="C12" s="16" t="s">
        <v>66</v>
      </c>
      <c r="D12" s="16" t="s">
        <v>174</v>
      </c>
      <c r="E12" s="16" t="s">
        <v>66</v>
      </c>
      <c r="F12" s="16">
        <v>3</v>
      </c>
      <c r="G12" s="6" t="s">
        <v>153</v>
      </c>
    </row>
    <row r="13" spans="1:7" ht="15" customHeight="1">
      <c r="A13" s="5" t="s">
        <v>175</v>
      </c>
      <c r="B13" s="16" t="s">
        <v>145</v>
      </c>
      <c r="C13" s="16" t="s">
        <v>176</v>
      </c>
      <c r="D13" s="16" t="s">
        <v>177</v>
      </c>
      <c r="E13" s="16" t="s">
        <v>49</v>
      </c>
      <c r="F13" s="16">
        <v>4</v>
      </c>
      <c r="G13" s="6" t="s">
        <v>148</v>
      </c>
    </row>
    <row r="14" spans="1:7" ht="15" customHeight="1">
      <c r="A14" s="5" t="s">
        <v>178</v>
      </c>
      <c r="B14" s="16" t="s">
        <v>145</v>
      </c>
      <c r="C14" s="16" t="s">
        <v>179</v>
      </c>
      <c r="D14" s="16" t="s">
        <v>180</v>
      </c>
      <c r="E14" s="16" t="s">
        <v>63</v>
      </c>
      <c r="F14" s="16">
        <v>3</v>
      </c>
      <c r="G14" s="6" t="s">
        <v>153</v>
      </c>
    </row>
    <row r="15" spans="1:7" ht="15" customHeight="1">
      <c r="A15" s="5" t="s">
        <v>181</v>
      </c>
      <c r="B15" s="16" t="s">
        <v>145</v>
      </c>
      <c r="C15" s="16" t="s">
        <v>179</v>
      </c>
      <c r="D15" s="16" t="s">
        <v>182</v>
      </c>
      <c r="E15" s="16" t="s">
        <v>63</v>
      </c>
      <c r="F15" s="16">
        <v>3</v>
      </c>
      <c r="G15" s="6" t="s">
        <v>153</v>
      </c>
    </row>
    <row r="16" spans="1:7" ht="15" customHeight="1">
      <c r="A16" s="5" t="s">
        <v>183</v>
      </c>
      <c r="B16" s="16" t="s">
        <v>145</v>
      </c>
      <c r="C16" s="16" t="s">
        <v>184</v>
      </c>
      <c r="D16" s="16" t="s">
        <v>185</v>
      </c>
      <c r="E16" s="16" t="s">
        <v>70</v>
      </c>
      <c r="F16" s="16">
        <v>3</v>
      </c>
      <c r="G16" s="6" t="s">
        <v>153</v>
      </c>
    </row>
    <row r="17" spans="1:7" ht="15" customHeight="1">
      <c r="A17" s="5" t="s">
        <v>186</v>
      </c>
      <c r="B17" s="16" t="s">
        <v>145</v>
      </c>
      <c r="C17" s="16" t="s">
        <v>187</v>
      </c>
      <c r="D17" s="16" t="s">
        <v>188</v>
      </c>
      <c r="E17" s="16" t="s">
        <v>70</v>
      </c>
      <c r="F17" s="16">
        <v>3</v>
      </c>
      <c r="G17" s="6" t="s">
        <v>153</v>
      </c>
    </row>
    <row r="18" spans="1:7" ht="15" customHeight="1">
      <c r="A18" s="5" t="s">
        <v>189</v>
      </c>
      <c r="B18" s="16" t="s">
        <v>145</v>
      </c>
      <c r="C18" s="16" t="s">
        <v>190</v>
      </c>
      <c r="D18" s="16" t="s">
        <v>191</v>
      </c>
      <c r="E18" s="16" t="s">
        <v>55</v>
      </c>
      <c r="F18" s="16">
        <v>4</v>
      </c>
      <c r="G18" s="6" t="s">
        <v>148</v>
      </c>
    </row>
    <row r="19" spans="1:7" ht="15" customHeight="1">
      <c r="A19" s="5" t="s">
        <v>192</v>
      </c>
      <c r="B19" s="16" t="s">
        <v>145</v>
      </c>
      <c r="C19" s="16" t="s">
        <v>190</v>
      </c>
      <c r="D19" s="16" t="s">
        <v>193</v>
      </c>
      <c r="E19" s="16" t="s">
        <v>55</v>
      </c>
      <c r="F19" s="16">
        <v>4</v>
      </c>
      <c r="G19" s="6" t="s">
        <v>148</v>
      </c>
    </row>
    <row r="20" spans="1:7" ht="15" customHeight="1">
      <c r="A20" s="5" t="s">
        <v>194</v>
      </c>
      <c r="B20" s="16" t="s">
        <v>145</v>
      </c>
      <c r="C20" s="16" t="s">
        <v>195</v>
      </c>
      <c r="D20" s="16" t="s">
        <v>196</v>
      </c>
      <c r="E20" s="16" t="s">
        <v>63</v>
      </c>
      <c r="F20" s="16">
        <v>3</v>
      </c>
      <c r="G20" s="6" t="s">
        <v>148</v>
      </c>
    </row>
    <row r="21" spans="1:7" ht="15" customHeight="1">
      <c r="A21" s="5" t="s">
        <v>197</v>
      </c>
      <c r="B21" s="16" t="s">
        <v>145</v>
      </c>
      <c r="C21" s="16" t="s">
        <v>198</v>
      </c>
      <c r="D21" s="16" t="s">
        <v>199</v>
      </c>
      <c r="E21" s="16" t="s">
        <v>63</v>
      </c>
      <c r="F21" s="16">
        <v>3</v>
      </c>
      <c r="G21" s="6" t="s">
        <v>153</v>
      </c>
    </row>
    <row r="22" spans="1:7" ht="15" customHeight="1">
      <c r="A22" s="5" t="s">
        <v>200</v>
      </c>
      <c r="B22" s="16" t="s">
        <v>145</v>
      </c>
      <c r="C22" s="16" t="s">
        <v>155</v>
      </c>
      <c r="D22" s="16" t="s">
        <v>201</v>
      </c>
      <c r="E22" s="16" t="s">
        <v>55</v>
      </c>
      <c r="F22" s="16">
        <v>4</v>
      </c>
      <c r="G22" s="6" t="s">
        <v>148</v>
      </c>
    </row>
    <row r="23" spans="1:7" ht="15" customHeight="1">
      <c r="A23" s="5" t="s">
        <v>202</v>
      </c>
      <c r="B23" s="16" t="s">
        <v>145</v>
      </c>
      <c r="C23" s="16" t="s">
        <v>158</v>
      </c>
      <c r="D23" s="16" t="s">
        <v>203</v>
      </c>
      <c r="E23" s="16" t="s">
        <v>55</v>
      </c>
      <c r="F23" s="16">
        <v>3</v>
      </c>
      <c r="G23" s="6" t="s">
        <v>153</v>
      </c>
    </row>
    <row r="24" spans="1:7" ht="15" customHeight="1">
      <c r="A24" s="5" t="s">
        <v>204</v>
      </c>
      <c r="B24" s="16" t="s">
        <v>145</v>
      </c>
      <c r="C24" s="16" t="s">
        <v>161</v>
      </c>
      <c r="D24" s="16" t="s">
        <v>205</v>
      </c>
      <c r="E24" s="16" t="s">
        <v>63</v>
      </c>
      <c r="F24" s="16">
        <v>3</v>
      </c>
      <c r="G24" s="6" t="s">
        <v>153</v>
      </c>
    </row>
    <row r="25" spans="1:7" ht="15" customHeight="1">
      <c r="A25" s="7" t="s">
        <v>206</v>
      </c>
      <c r="B25" s="17" t="s">
        <v>145</v>
      </c>
      <c r="C25" s="17" t="s">
        <v>48</v>
      </c>
      <c r="D25" s="17" t="s">
        <v>207</v>
      </c>
      <c r="E25" s="17" t="s">
        <v>48</v>
      </c>
      <c r="F25" s="17">
        <v>3</v>
      </c>
      <c r="G25" s="8" t="s">
        <v>148</v>
      </c>
    </row>
  </sheetData>
  <dataValidations count="2">
    <dataValidation type="whole" sqref="F2:F25" xr:uid="{00000000-0002-0000-0300-000000000000}">
      <formula1>1</formula1>
      <formula2>5</formula2>
    </dataValidation>
    <dataValidation type="list" sqref="G2:G25" xr:uid="{00000000-0002-0000-03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64"/>
  <sheetViews>
    <sheetView showGridLines="0" topLeftCell="D1" workbookViewId="0">
      <selection activeCell="V1" sqref="V1:V1048576"/>
    </sheetView>
  </sheetViews>
  <sheetFormatPr defaultRowHeight="13.5"/>
  <cols>
    <col min="1" max="1" width="20.0625" customWidth="1"/>
    <col min="2" max="2" width="19.375" customWidth="1"/>
    <col min="3" max="3" width="13.5" customWidth="1"/>
    <col min="4" max="4" width="16.125" customWidth="1"/>
    <col min="5" max="5" width="19.75" customWidth="1"/>
    <col min="6" max="7" width="12.25" customWidth="1"/>
    <col min="8" max="8" width="21.625" customWidth="1"/>
    <col min="9" max="9" width="27.125" customWidth="1"/>
    <col min="10" max="10" width="11.625" customWidth="1"/>
    <col min="11" max="11" width="7.625" customWidth="1"/>
    <col min="12" max="12" width="10.625" customWidth="1"/>
    <col min="13" max="13" width="3.25" customWidth="1"/>
    <col min="14" max="14" width="12.5625" customWidth="1"/>
    <col min="15" max="15" width="15.75" customWidth="1"/>
    <col min="16" max="16" width="13.3125" customWidth="1"/>
    <col min="17" max="17" width="16.875" customWidth="1"/>
    <col min="18" max="18" width="15.875" customWidth="1"/>
    <col min="19" max="19" width="18" customWidth="1"/>
    <col min="20" max="20" width="21.0625" customWidth="1"/>
    <col min="21" max="21" width="15.9375" customWidth="1"/>
    <col min="22" max="22" width="30.125" customWidth="1"/>
    <col min="23" max="23" width="22.375" customWidth="1"/>
  </cols>
  <sheetData>
    <row r="1" spans="1:23" ht="15" customHeight="1">
      <c r="A1" s="9" t="s">
        <v>208</v>
      </c>
      <c r="B1" s="18" t="s">
        <v>37</v>
      </c>
      <c r="C1" s="18" t="s">
        <v>38</v>
      </c>
      <c r="D1" s="18" t="s">
        <v>39</v>
      </c>
      <c r="E1" s="18" t="s">
        <v>40</v>
      </c>
      <c r="F1" s="18" t="s">
        <v>41</v>
      </c>
      <c r="G1" s="18" t="s">
        <v>138</v>
      </c>
      <c r="H1" s="18" t="s">
        <v>140</v>
      </c>
      <c r="I1" s="18" t="s">
        <v>141</v>
      </c>
      <c r="J1" s="18" t="s">
        <v>142</v>
      </c>
      <c r="K1" s="18" t="s">
        <v>143</v>
      </c>
      <c r="L1" s="18" t="s">
        <v>209</v>
      </c>
      <c r="M1" s="18" t="s">
        <v>210</v>
      </c>
      <c r="N1" s="18" t="s">
        <v>211</v>
      </c>
      <c r="O1" s="18" t="s">
        <v>212</v>
      </c>
      <c r="P1" s="18" t="s">
        <v>213</v>
      </c>
      <c r="Q1" s="18" t="s">
        <v>214</v>
      </c>
      <c r="R1" s="18" t="s">
        <v>215</v>
      </c>
      <c r="S1" s="18" t="s">
        <v>216</v>
      </c>
      <c r="T1" s="18" t="s">
        <v>217</v>
      </c>
      <c r="U1" s="18" t="s">
        <v>218</v>
      </c>
      <c r="V1" s="18" t="s">
        <v>219</v>
      </c>
      <c r="W1" s="10" t="s">
        <v>220</v>
      </c>
    </row>
    <row r="2" spans="1:23" ht="15" customHeight="1">
      <c r="A2" s="5" t="s">
        <v>221</v>
      </c>
      <c r="B2" s="16" t="s">
        <v>46</v>
      </c>
      <c r="C2" s="16" t="str">
        <f>IFERROR(INDEX(employees!$B$2:$B$37,MATCH(B2,employees!$A$2:$A$37,0)),"")</f>
        <v>Avery Brown</v>
      </c>
      <c r="D2" s="16" t="str">
        <f>IFERROR(INDEX(employees!$C$2:$C$37,MATCH(B2,employees!$A$2:$A$37,0)),"")</f>
        <v>Asset Management</v>
      </c>
      <c r="E2" s="16" t="str">
        <f>IFERROR(INDEX(employees!$D$2:$D$37,MATCH(B2,employees!$A$2:$A$37,0)),"")</f>
        <v>Systems Engineering</v>
      </c>
      <c r="F2" s="16" t="str">
        <f>IFERROR(INDEX(employees!$E$2:$E$37,MATCH(B2,employees!$A$2:$A$37,0)),"")</f>
        <v>Senior Engineer</v>
      </c>
      <c r="G2" s="16" t="s">
        <v>169</v>
      </c>
      <c r="H2" s="16" t="str">
        <f>IFERROR(INDEX(competency_model!$C$2:$C$25,MATCH(G2,competency_model!$A$2:$A$25,0)),"")</f>
        <v>Power Systems Knowledge</v>
      </c>
      <c r="I2" s="16" t="str">
        <f>IFERROR(INDEX(competency_model!$D$2:$D$25,MATCH(G2,competency_model!$A$2:$A$25,0)),"")</f>
        <v>HVDC System Concepts</v>
      </c>
      <c r="J2" s="16">
        <f>IFERROR(INDEX(competency_model!$F$2:$F$25,MATCH(G2,competency_model!$A$2:$A$25,0)),"")</f>
        <v>3</v>
      </c>
      <c r="K2" s="16" t="str">
        <f>IFERROR(INDEX(competency_model!$G$2:$G$25,MATCH(G2,competency_model!$A$2:$A$25,0)),"")</f>
        <v>High</v>
      </c>
      <c r="L2" s="21">
        <v>2</v>
      </c>
      <c r="M2" s="21">
        <f t="shared" ref="M2:M65" si="0">MAX(0,J2-L2)</f>
        <v>1</v>
      </c>
      <c r="N2" s="16" t="str">
        <f t="shared" ref="N2:N65" si="1">IF(M2=0,"No Gap",IF(M2=1,"Minor",IF(M2=2,"Moderate","Critical")))</f>
        <v>Minor</v>
      </c>
      <c r="O2" s="21">
        <f t="shared" ref="O2:O65" si="2">IF(K2="High",3,IF(K2="Medium",2,1))</f>
        <v>3</v>
      </c>
      <c r="P2" s="21">
        <f t="shared" ref="P2:P65" si="3">M2*O2</f>
        <v>3</v>
      </c>
      <c r="Q2" s="16" t="str">
        <f t="shared" ref="Q2:Q65" si="4">IF(L2&gt;=J2,"Ready","Development Needed")</f>
        <v>Development Needed</v>
      </c>
      <c r="R2" s="16" t="s">
        <v>222</v>
      </c>
      <c r="S2" s="23">
        <v>46181.325546990738</v>
      </c>
      <c r="T2" s="25">
        <f t="shared" ref="T2:T65" ca="1" si="5">TODAY()-S2</f>
        <v>20.674453009261924</v>
      </c>
      <c r="U2" s="16" t="s">
        <v>223</v>
      </c>
      <c r="V2" s="16"/>
      <c r="W2" s="6" t="str">
        <f>IF(R2="Missing","Missing evidence",IF(T2&gt;365,"Stale assessment",IF(COUNTIFS($B$2:$B$264,B2,$G$2:$G$264,G2)&gt;1,"Duplicate competency record",IF(INDEX(employees!$H$2:$H$37,MATCH(B2,employees!$A$2:$A$37,0))="Inactive","Inactive account","OK"))))</f>
        <v>Missing evidence</v>
      </c>
    </row>
    <row r="3" spans="1:23" ht="15" customHeight="1">
      <c r="A3" s="5" t="s">
        <v>224</v>
      </c>
      <c r="B3" s="16" t="s">
        <v>46</v>
      </c>
      <c r="C3" s="16" t="str">
        <f>IFERROR(INDEX(employees!$B$2:$B$37,MATCH(B3,employees!$A$2:$A$37,0)),"")</f>
        <v>Avery Brown</v>
      </c>
      <c r="D3" s="16" t="str">
        <f>IFERROR(INDEX(employees!$C$2:$C$37,MATCH(B3,employees!$A$2:$A$37,0)),"")</f>
        <v>Asset Management</v>
      </c>
      <c r="E3" s="16" t="str">
        <f>IFERROR(INDEX(employees!$D$2:$D$37,MATCH(B3,employees!$A$2:$A$37,0)),"")</f>
        <v>Systems Engineering</v>
      </c>
      <c r="F3" s="16" t="str">
        <f>IFERROR(INDEX(employees!$E$2:$E$37,MATCH(B3,employees!$A$2:$A$37,0)),"")</f>
        <v>Senior Engineer</v>
      </c>
      <c r="G3" s="16" t="s">
        <v>197</v>
      </c>
      <c r="H3" s="16" t="str">
        <f>IFERROR(INDEX(competency_model!$C$2:$C$25,MATCH(G3,competency_model!$A$2:$A$25,0)),"")</f>
        <v>User Support</v>
      </c>
      <c r="I3" s="16" t="str">
        <f>IFERROR(INDEX(competency_model!$D$2:$D$25,MATCH(G3,competency_model!$A$2:$A$25,0)),"")</f>
        <v>Competency Tool User Support</v>
      </c>
      <c r="J3" s="16">
        <f>IFERROR(INDEX(competency_model!$F$2:$F$25,MATCH(G3,competency_model!$A$2:$A$25,0)),"")</f>
        <v>3</v>
      </c>
      <c r="K3" s="16" t="str">
        <f>IFERROR(INDEX(competency_model!$G$2:$G$25,MATCH(G3,competency_model!$A$2:$A$25,0)),"")</f>
        <v>Medium</v>
      </c>
      <c r="L3" s="21">
        <v>2</v>
      </c>
      <c r="M3" s="21">
        <f t="shared" si="0"/>
        <v>1</v>
      </c>
      <c r="N3" s="16" t="str">
        <f t="shared" si="1"/>
        <v>Minor</v>
      </c>
      <c r="O3" s="21">
        <f t="shared" si="2"/>
        <v>2</v>
      </c>
      <c r="P3" s="21">
        <f t="shared" si="3"/>
        <v>2</v>
      </c>
      <c r="Q3" s="16" t="str">
        <f t="shared" si="4"/>
        <v>Development Needed</v>
      </c>
      <c r="R3" s="16" t="s">
        <v>225</v>
      </c>
      <c r="S3" s="23">
        <v>46190.880895057868</v>
      </c>
      <c r="T3" s="25">
        <f t="shared" ca="1" si="5"/>
        <v>11.119104942132253</v>
      </c>
      <c r="U3" s="16" t="s">
        <v>223</v>
      </c>
      <c r="V3" s="16" t="s">
        <v>226</v>
      </c>
      <c r="W3" s="6" t="str">
        <f ca="1">IF(R3="Missing","Missing evidence",IF(T3&gt;365,"Stale assessment",IF(COUNTIFS($B$2:$B$264,B3,$G$2:$G$264,G3)&gt;1,"Duplicate competency record",IF(INDEX(employees!$H$2:$H$37,MATCH(B3,employees!$A$2:$A$37,0))="Inactive","Inactive account","OK"))))</f>
        <v>OK</v>
      </c>
    </row>
    <row r="4" spans="1:23" ht="15" customHeight="1">
      <c r="A4" s="5" t="s">
        <v>227</v>
      </c>
      <c r="B4" s="16" t="s">
        <v>46</v>
      </c>
      <c r="C4" s="16" t="str">
        <f>IFERROR(INDEX(employees!$B$2:$B$37,MATCH(B4,employees!$A$2:$A$37,0)),"")</f>
        <v>Avery Brown</v>
      </c>
      <c r="D4" s="16" t="str">
        <f>IFERROR(INDEX(employees!$C$2:$C$37,MATCH(B4,employees!$A$2:$A$37,0)),"")</f>
        <v>Asset Management</v>
      </c>
      <c r="E4" s="16" t="str">
        <f>IFERROR(INDEX(employees!$D$2:$D$37,MATCH(B4,employees!$A$2:$A$37,0)),"")</f>
        <v>Systems Engineering</v>
      </c>
      <c r="F4" s="16" t="str">
        <f>IFERROR(INDEX(employees!$E$2:$E$37,MATCH(B4,employees!$A$2:$A$37,0)),"")</f>
        <v>Senior Engineer</v>
      </c>
      <c r="G4" s="16" t="s">
        <v>178</v>
      </c>
      <c r="H4" s="16" t="str">
        <f>IFERROR(INDEX(competency_model!$C$2:$C$25,MATCH(G4,competency_model!$A$2:$A$25,0)),"")</f>
        <v>Stakeholder Communication</v>
      </c>
      <c r="I4" s="16" t="str">
        <f>IFERROR(INDEX(competency_model!$D$2:$D$25,MATCH(G4,competency_model!$A$2:$A$25,0)),"")</f>
        <v>Non-Technical Explanation</v>
      </c>
      <c r="J4" s="16">
        <f>IFERROR(INDEX(competency_model!$F$2:$F$25,MATCH(G4,competency_model!$A$2:$A$25,0)),"")</f>
        <v>3</v>
      </c>
      <c r="K4" s="16" t="str">
        <f>IFERROR(INDEX(competency_model!$G$2:$G$25,MATCH(G4,competency_model!$A$2:$A$25,0)),"")</f>
        <v>Medium</v>
      </c>
      <c r="L4" s="21">
        <v>3</v>
      </c>
      <c r="M4" s="21">
        <f t="shared" si="0"/>
        <v>0</v>
      </c>
      <c r="N4" s="16" t="str">
        <f t="shared" si="1"/>
        <v>No Gap</v>
      </c>
      <c r="O4" s="21">
        <f t="shared" si="2"/>
        <v>2</v>
      </c>
      <c r="P4" s="21">
        <f t="shared" si="3"/>
        <v>0</v>
      </c>
      <c r="Q4" s="16" t="str">
        <f t="shared" si="4"/>
        <v>Ready</v>
      </c>
      <c r="R4" s="16" t="s">
        <v>228</v>
      </c>
      <c r="S4" s="23">
        <v>45976.810016550924</v>
      </c>
      <c r="T4" s="25">
        <f t="shared" ca="1" si="5"/>
        <v>225.18998344907595</v>
      </c>
      <c r="U4" s="16" t="s">
        <v>229</v>
      </c>
      <c r="V4" s="16"/>
      <c r="W4" s="6" t="str">
        <f ca="1">IF(R4="Missing","Missing evidence",IF(T4&gt;365,"Stale assessment",IF(COUNTIFS($B$2:$B$264,B4,$G$2:$G$264,G4)&gt;1,"Duplicate competency record",IF(INDEX(employees!$H$2:$H$37,MATCH(B4,employees!$A$2:$A$37,0))="Inactive","Inactive account","OK"))))</f>
        <v>OK</v>
      </c>
    </row>
    <row r="5" spans="1:23" ht="15" customHeight="1">
      <c r="A5" s="5" t="s">
        <v>230</v>
      </c>
      <c r="B5" s="16" t="s">
        <v>46</v>
      </c>
      <c r="C5" s="16" t="str">
        <f>IFERROR(INDEX(employees!$B$2:$B$37,MATCH(B5,employees!$A$2:$A$37,0)),"")</f>
        <v>Avery Brown</v>
      </c>
      <c r="D5" s="16" t="str">
        <f>IFERROR(INDEX(employees!$C$2:$C$37,MATCH(B5,employees!$A$2:$A$37,0)),"")</f>
        <v>Asset Management</v>
      </c>
      <c r="E5" s="16" t="str">
        <f>IFERROR(INDEX(employees!$D$2:$D$37,MATCH(B5,employees!$A$2:$A$37,0)),"")</f>
        <v>Systems Engineering</v>
      </c>
      <c r="F5" s="16" t="str">
        <f>IFERROR(INDEX(employees!$E$2:$E$37,MATCH(B5,employees!$A$2:$A$37,0)),"")</f>
        <v>Senior Engineer</v>
      </c>
      <c r="G5" s="16" t="s">
        <v>154</v>
      </c>
      <c r="H5" s="16" t="str">
        <f>IFERROR(INDEX(competency_model!$C$2:$C$25,MATCH(G5,competency_model!$A$2:$A$25,0)),"")</f>
        <v>Excel Reporting</v>
      </c>
      <c r="I5" s="16" t="str">
        <f>IFERROR(INDEX(competency_model!$D$2:$D$25,MATCH(G5,competency_model!$A$2:$A$25,0)),"")</f>
        <v>PivotTables and Power Query</v>
      </c>
      <c r="J5" s="16">
        <f>IFERROR(INDEX(competency_model!$F$2:$F$25,MATCH(G5,competency_model!$A$2:$A$25,0)),"")</f>
        <v>4</v>
      </c>
      <c r="K5" s="16" t="str">
        <f>IFERROR(INDEX(competency_model!$G$2:$G$25,MATCH(G5,competency_model!$A$2:$A$25,0)),"")</f>
        <v>High</v>
      </c>
      <c r="L5" s="21">
        <v>1</v>
      </c>
      <c r="M5" s="21">
        <f t="shared" si="0"/>
        <v>3</v>
      </c>
      <c r="N5" s="16" t="str">
        <f t="shared" si="1"/>
        <v>Critical</v>
      </c>
      <c r="O5" s="21">
        <f t="shared" si="2"/>
        <v>3</v>
      </c>
      <c r="P5" s="21">
        <f t="shared" si="3"/>
        <v>9</v>
      </c>
      <c r="Q5" s="16" t="str">
        <f t="shared" si="4"/>
        <v>Development Needed</v>
      </c>
      <c r="R5" s="16" t="s">
        <v>225</v>
      </c>
      <c r="S5" s="23">
        <v>46094.424392962967</v>
      </c>
      <c r="T5" s="25">
        <f t="shared" ca="1" si="5"/>
        <v>107.57560703703348</v>
      </c>
      <c r="U5" s="16" t="s">
        <v>223</v>
      </c>
      <c r="V5" s="16" t="s">
        <v>231</v>
      </c>
      <c r="W5" s="6" t="str">
        <f ca="1">IF(R5="Missing","Missing evidence",IF(T5&gt;365,"Stale assessment",IF(COUNTIFS($B$2:$B$264,B5,$G$2:$G$264,G5)&gt;1,"Duplicate competency record",IF(INDEX(employees!$H$2:$H$37,MATCH(B5,employees!$A$2:$A$37,0))="Inactive","Inactive account","OK"))))</f>
        <v>OK</v>
      </c>
    </row>
    <row r="6" spans="1:23" ht="15" customHeight="1">
      <c r="A6" s="5" t="s">
        <v>232</v>
      </c>
      <c r="B6" s="16" t="s">
        <v>46</v>
      </c>
      <c r="C6" s="16" t="str">
        <f>IFERROR(INDEX(employees!$B$2:$B$37,MATCH(B6,employees!$A$2:$A$37,0)),"")</f>
        <v>Avery Brown</v>
      </c>
      <c r="D6" s="16" t="str">
        <f>IFERROR(INDEX(employees!$C$2:$C$37,MATCH(B6,employees!$A$2:$A$37,0)),"")</f>
        <v>Asset Management</v>
      </c>
      <c r="E6" s="16" t="str">
        <f>IFERROR(INDEX(employees!$D$2:$D$37,MATCH(B6,employees!$A$2:$A$37,0)),"")</f>
        <v>Systems Engineering</v>
      </c>
      <c r="F6" s="16" t="str">
        <f>IFERROR(INDEX(employees!$E$2:$E$37,MATCH(B6,employees!$A$2:$A$37,0)),"")</f>
        <v>Senior Engineer</v>
      </c>
      <c r="G6" s="16" t="s">
        <v>160</v>
      </c>
      <c r="H6" s="16" t="str">
        <f>IFERROR(INDEX(competency_model!$C$2:$C$25,MATCH(G6,competency_model!$A$2:$A$25,0)),"")</f>
        <v>PowerPoint Presentation</v>
      </c>
      <c r="I6" s="16" t="str">
        <f>IFERROR(INDEX(competency_model!$D$2:$D$25,MATCH(G6,competency_model!$A$2:$A$25,0)),"")</f>
        <v>Leadership Storytelling</v>
      </c>
      <c r="J6" s="16">
        <f>IFERROR(INDEX(competency_model!$F$2:$F$25,MATCH(G6,competency_model!$A$2:$A$25,0)),"")</f>
        <v>3</v>
      </c>
      <c r="K6" s="16" t="str">
        <f>IFERROR(INDEX(competency_model!$G$2:$G$25,MATCH(G6,competency_model!$A$2:$A$25,0)),"")</f>
        <v>Medium</v>
      </c>
      <c r="L6" s="21">
        <v>2</v>
      </c>
      <c r="M6" s="21">
        <f t="shared" si="0"/>
        <v>1</v>
      </c>
      <c r="N6" s="16" t="str">
        <f t="shared" si="1"/>
        <v>Minor</v>
      </c>
      <c r="O6" s="21">
        <f t="shared" si="2"/>
        <v>2</v>
      </c>
      <c r="P6" s="21">
        <f t="shared" si="3"/>
        <v>2</v>
      </c>
      <c r="Q6" s="16" t="str">
        <f t="shared" si="4"/>
        <v>Development Needed</v>
      </c>
      <c r="R6" s="16" t="s">
        <v>228</v>
      </c>
      <c r="S6" s="23">
        <v>46162.995933796294</v>
      </c>
      <c r="T6" s="25">
        <f t="shared" ca="1" si="5"/>
        <v>39.004066203706316</v>
      </c>
      <c r="U6" s="16" t="s">
        <v>229</v>
      </c>
      <c r="V6" s="16" t="s">
        <v>233</v>
      </c>
      <c r="W6" s="6" t="str">
        <f ca="1">IF(R6="Missing","Missing evidence",IF(T6&gt;365,"Stale assessment",IF(COUNTIFS($B$2:$B$264,B6,$G$2:$G$264,G6)&gt;1,"Duplicate competency record",IF(INDEX(employees!$H$2:$H$37,MATCH(B6,employees!$A$2:$A$37,0))="Inactive","Inactive account","OK"))))</f>
        <v>OK</v>
      </c>
    </row>
    <row r="7" spans="1:23" ht="15" customHeight="1">
      <c r="A7" s="5" t="s">
        <v>234</v>
      </c>
      <c r="B7" s="16" t="s">
        <v>46</v>
      </c>
      <c r="C7" s="16" t="str">
        <f>IFERROR(INDEX(employees!$B$2:$B$37,MATCH(B7,employees!$A$2:$A$37,0)),"")</f>
        <v>Avery Brown</v>
      </c>
      <c r="D7" s="16" t="str">
        <f>IFERROR(INDEX(employees!$C$2:$C$37,MATCH(B7,employees!$A$2:$A$37,0)),"")</f>
        <v>Asset Management</v>
      </c>
      <c r="E7" s="16" t="str">
        <f>IFERROR(INDEX(employees!$D$2:$D$37,MATCH(B7,employees!$A$2:$A$37,0)),"")</f>
        <v>Systems Engineering</v>
      </c>
      <c r="F7" s="16" t="str">
        <f>IFERROR(INDEX(employees!$E$2:$E$37,MATCH(B7,employees!$A$2:$A$37,0)),"")</f>
        <v>Senior Engineer</v>
      </c>
      <c r="G7" s="16" t="s">
        <v>206</v>
      </c>
      <c r="H7" s="16" t="str">
        <f>IFERROR(INDEX(competency_model!$C$2:$C$25,MATCH(G7,competency_model!$A$2:$A$25,0)),"")</f>
        <v>Asset Management</v>
      </c>
      <c r="I7" s="16" t="str">
        <f>IFERROR(INDEX(competency_model!$D$2:$D$25,MATCH(G7,competency_model!$A$2:$A$25,0)),"")</f>
        <v>Engineering Performance Indicators</v>
      </c>
      <c r="J7" s="16">
        <f>IFERROR(INDEX(competency_model!$F$2:$F$25,MATCH(G7,competency_model!$A$2:$A$25,0)),"")</f>
        <v>3</v>
      </c>
      <c r="K7" s="16" t="str">
        <f>IFERROR(INDEX(competency_model!$G$2:$G$25,MATCH(G7,competency_model!$A$2:$A$25,0)),"")</f>
        <v>High</v>
      </c>
      <c r="L7" s="21">
        <v>1</v>
      </c>
      <c r="M7" s="21">
        <f t="shared" si="0"/>
        <v>2</v>
      </c>
      <c r="N7" s="16" t="str">
        <f t="shared" si="1"/>
        <v>Moderate</v>
      </c>
      <c r="O7" s="21">
        <f t="shared" si="2"/>
        <v>3</v>
      </c>
      <c r="P7" s="21">
        <f t="shared" si="3"/>
        <v>6</v>
      </c>
      <c r="Q7" s="16" t="str">
        <f t="shared" si="4"/>
        <v>Development Needed</v>
      </c>
      <c r="R7" s="16" t="s">
        <v>222</v>
      </c>
      <c r="S7" s="23">
        <v>46131.099575844906</v>
      </c>
      <c r="T7" s="25">
        <f t="shared" ca="1" si="5"/>
        <v>70.900424155093788</v>
      </c>
      <c r="U7" s="16" t="s">
        <v>223</v>
      </c>
      <c r="V7" s="16"/>
      <c r="W7" s="6" t="str">
        <f>IF(R7="Missing","Missing evidence",IF(T7&gt;365,"Stale assessment",IF(COUNTIFS($B$2:$B$264,B7,$G$2:$G$264,G7)&gt;1,"Duplicate competency record",IF(INDEX(employees!$H$2:$H$37,MATCH(B7,employees!$A$2:$A$37,0))="Inactive","Inactive account","OK"))))</f>
        <v>Missing evidence</v>
      </c>
    </row>
    <row r="8" spans="1:23" ht="15" customHeight="1">
      <c r="A8" s="5" t="s">
        <v>235</v>
      </c>
      <c r="B8" s="16" t="s">
        <v>46</v>
      </c>
      <c r="C8" s="16" t="str">
        <f>IFERROR(INDEX(employees!$B$2:$B$37,MATCH(B8,employees!$A$2:$A$37,0)),"")</f>
        <v>Avery Brown</v>
      </c>
      <c r="D8" s="16" t="str">
        <f>IFERROR(INDEX(employees!$C$2:$C$37,MATCH(B8,employees!$A$2:$A$37,0)),"")</f>
        <v>Asset Management</v>
      </c>
      <c r="E8" s="16" t="str">
        <f>IFERROR(INDEX(employees!$D$2:$D$37,MATCH(B8,employees!$A$2:$A$37,0)),"")</f>
        <v>Systems Engineering</v>
      </c>
      <c r="F8" s="16" t="str">
        <f>IFERROR(INDEX(employees!$E$2:$E$37,MATCH(B8,employees!$A$2:$A$37,0)),"")</f>
        <v>Senior Engineer</v>
      </c>
      <c r="G8" s="16" t="s">
        <v>181</v>
      </c>
      <c r="H8" s="16" t="str">
        <f>IFERROR(INDEX(competency_model!$C$2:$C$25,MATCH(G8,competency_model!$A$2:$A$25,0)),"")</f>
        <v>Stakeholder Communication</v>
      </c>
      <c r="I8" s="16" t="str">
        <f>IFERROR(INDEX(competency_model!$D$2:$D$25,MATCH(G8,competency_model!$A$2:$A$25,0)),"")</f>
        <v>Cross-Functional Updates</v>
      </c>
      <c r="J8" s="16">
        <f>IFERROR(INDEX(competency_model!$F$2:$F$25,MATCH(G8,competency_model!$A$2:$A$25,0)),"")</f>
        <v>3</v>
      </c>
      <c r="K8" s="16" t="str">
        <f>IFERROR(INDEX(competency_model!$G$2:$G$25,MATCH(G8,competency_model!$A$2:$A$25,0)),"")</f>
        <v>Medium</v>
      </c>
      <c r="L8" s="21">
        <v>1</v>
      </c>
      <c r="M8" s="21">
        <f t="shared" si="0"/>
        <v>2</v>
      </c>
      <c r="N8" s="16" t="str">
        <f t="shared" si="1"/>
        <v>Moderate</v>
      </c>
      <c r="O8" s="21">
        <f t="shared" si="2"/>
        <v>2</v>
      </c>
      <c r="P8" s="21">
        <f t="shared" si="3"/>
        <v>4</v>
      </c>
      <c r="Q8" s="16" t="str">
        <f t="shared" si="4"/>
        <v>Development Needed</v>
      </c>
      <c r="R8" s="16" t="s">
        <v>222</v>
      </c>
      <c r="S8" s="23">
        <v>46098.835551516204</v>
      </c>
      <c r="T8" s="25">
        <f t="shared" ca="1" si="5"/>
        <v>103.16444848379615</v>
      </c>
      <c r="U8" s="16" t="s">
        <v>229</v>
      </c>
      <c r="V8" s="16"/>
      <c r="W8" s="6" t="str">
        <f>IF(R8="Missing","Missing evidence",IF(T8&gt;365,"Stale assessment",IF(COUNTIFS($B$2:$B$264,B8,$G$2:$G$264,G8)&gt;1,"Duplicate competency record",IF(INDEX(employees!$H$2:$H$37,MATCH(B8,employees!$A$2:$A$37,0))="Inactive","Inactive account","OK"))))</f>
        <v>Missing evidence</v>
      </c>
    </row>
    <row r="9" spans="1:23" ht="15" customHeight="1">
      <c r="A9" s="5" t="s">
        <v>236</v>
      </c>
      <c r="B9" s="16" t="s">
        <v>46</v>
      </c>
      <c r="C9" s="16" t="str">
        <f>IFERROR(INDEX(employees!$B$2:$B$37,MATCH(B9,employees!$A$2:$A$37,0)),"")</f>
        <v>Avery Brown</v>
      </c>
      <c r="D9" s="16" t="str">
        <f>IFERROR(INDEX(employees!$C$2:$C$37,MATCH(B9,employees!$A$2:$A$37,0)),"")</f>
        <v>Asset Management</v>
      </c>
      <c r="E9" s="16" t="str">
        <f>IFERROR(INDEX(employees!$D$2:$D$37,MATCH(B9,employees!$A$2:$A$37,0)),"")</f>
        <v>Systems Engineering</v>
      </c>
      <c r="F9" s="16" t="str">
        <f>IFERROR(INDEX(employees!$E$2:$E$37,MATCH(B9,employees!$A$2:$A$37,0)),"")</f>
        <v>Senior Engineer</v>
      </c>
      <c r="G9" s="16" t="s">
        <v>163</v>
      </c>
      <c r="H9" s="16" t="str">
        <f>IFERROR(INDEX(competency_model!$C$2:$C$25,MATCH(G9,competency_model!$A$2:$A$25,0)),"")</f>
        <v>Engineering Documentation</v>
      </c>
      <c r="I9" s="16" t="str">
        <f>IFERROR(INDEX(competency_model!$D$2:$D$25,MATCH(G9,competency_model!$A$2:$A$25,0)),"")</f>
        <v>Technical Documentation</v>
      </c>
      <c r="J9" s="16">
        <f>IFERROR(INDEX(competency_model!$F$2:$F$25,MATCH(G9,competency_model!$A$2:$A$25,0)),"")</f>
        <v>4</v>
      </c>
      <c r="K9" s="16" t="str">
        <f>IFERROR(INDEX(competency_model!$G$2:$G$25,MATCH(G9,competency_model!$A$2:$A$25,0)),"")</f>
        <v>High</v>
      </c>
      <c r="L9" s="21">
        <v>3</v>
      </c>
      <c r="M9" s="21">
        <f t="shared" si="0"/>
        <v>1</v>
      </c>
      <c r="N9" s="16" t="str">
        <f t="shared" si="1"/>
        <v>Minor</v>
      </c>
      <c r="O9" s="21">
        <f t="shared" si="2"/>
        <v>3</v>
      </c>
      <c r="P9" s="21">
        <f t="shared" si="3"/>
        <v>3</v>
      </c>
      <c r="Q9" s="16" t="str">
        <f t="shared" si="4"/>
        <v>Development Needed</v>
      </c>
      <c r="R9" s="16" t="s">
        <v>228</v>
      </c>
      <c r="S9" s="23">
        <v>45967.586636678243</v>
      </c>
      <c r="T9" s="25">
        <f t="shared" ca="1" si="5"/>
        <v>234.41336332175706</v>
      </c>
      <c r="U9" s="16" t="s">
        <v>229</v>
      </c>
      <c r="V9" s="16"/>
      <c r="W9" s="6" t="str">
        <f ca="1">IF(R9="Missing","Missing evidence",IF(T9&gt;365,"Stale assessment",IF(COUNTIFS($B$2:$B$264,B9,$G$2:$G$264,G9)&gt;1,"Duplicate competency record",IF(INDEX(employees!$H$2:$H$37,MATCH(B9,employees!$A$2:$A$37,0))="Inactive","Inactive account","OK"))))</f>
        <v>OK</v>
      </c>
    </row>
    <row r="10" spans="1:23" ht="15" customHeight="1">
      <c r="A10" s="5" t="s">
        <v>237</v>
      </c>
      <c r="B10" s="16" t="s">
        <v>53</v>
      </c>
      <c r="C10" s="16" t="str">
        <f>IFERROR(INDEX(employees!$B$2:$B$37,MATCH(B10,employees!$A$2:$A$37,0)),"")</f>
        <v>Alex Shah</v>
      </c>
      <c r="D10" s="16" t="str">
        <f>IFERROR(INDEX(employees!$C$2:$C$37,MATCH(B10,employees!$A$2:$A$37,0)),"")</f>
        <v>Systems Engineering</v>
      </c>
      <c r="E10" s="16" t="str">
        <f>IFERROR(INDEX(employees!$D$2:$D$37,MATCH(B10,employees!$A$2:$A$37,0)),"")</f>
        <v>Data &amp; Reporting</v>
      </c>
      <c r="F10" s="16" t="str">
        <f>IFERROR(INDEX(employees!$E$2:$E$37,MATCH(B10,employees!$A$2:$A$37,0)),"")</f>
        <v>Engineer</v>
      </c>
      <c r="G10" s="16" t="s">
        <v>197</v>
      </c>
      <c r="H10" s="16" t="str">
        <f>IFERROR(INDEX(competency_model!$C$2:$C$25,MATCH(G10,competency_model!$A$2:$A$25,0)),"")</f>
        <v>User Support</v>
      </c>
      <c r="I10" s="16" t="str">
        <f>IFERROR(INDEX(competency_model!$D$2:$D$25,MATCH(G10,competency_model!$A$2:$A$25,0)),"")</f>
        <v>Competency Tool User Support</v>
      </c>
      <c r="J10" s="16">
        <f>IFERROR(INDEX(competency_model!$F$2:$F$25,MATCH(G10,competency_model!$A$2:$A$25,0)),"")</f>
        <v>3</v>
      </c>
      <c r="K10" s="16" t="str">
        <f>IFERROR(INDEX(competency_model!$G$2:$G$25,MATCH(G10,competency_model!$A$2:$A$25,0)),"")</f>
        <v>Medium</v>
      </c>
      <c r="L10" s="21">
        <v>1</v>
      </c>
      <c r="M10" s="21">
        <f t="shared" si="0"/>
        <v>2</v>
      </c>
      <c r="N10" s="16" t="str">
        <f t="shared" si="1"/>
        <v>Moderate</v>
      </c>
      <c r="O10" s="21">
        <f t="shared" si="2"/>
        <v>2</v>
      </c>
      <c r="P10" s="21">
        <f t="shared" si="3"/>
        <v>4</v>
      </c>
      <c r="Q10" s="16" t="str">
        <f t="shared" si="4"/>
        <v>Development Needed</v>
      </c>
      <c r="R10" s="16" t="s">
        <v>228</v>
      </c>
      <c r="S10" s="23">
        <v>46160.615992592589</v>
      </c>
      <c r="T10" s="25">
        <f t="shared" ca="1" si="5"/>
        <v>41.384007407410536</v>
      </c>
      <c r="U10" s="16" t="s">
        <v>229</v>
      </c>
      <c r="V10" s="16" t="s">
        <v>226</v>
      </c>
      <c r="W10" s="6" t="str">
        <f ca="1">IF(R10="Missing","Missing evidence",IF(T10&gt;365,"Stale assessment",IF(COUNTIFS($B$2:$B$264,B10,$G$2:$G$264,G10)&gt;1,"Duplicate competency record",IF(INDEX(employees!$H$2:$H$37,MATCH(B10,employees!$A$2:$A$37,0))="Inactive","Inactive account","OK"))))</f>
        <v>OK</v>
      </c>
    </row>
    <row r="11" spans="1:23" ht="15" customHeight="1">
      <c r="A11" s="5" t="s">
        <v>238</v>
      </c>
      <c r="B11" s="16" t="s">
        <v>53</v>
      </c>
      <c r="C11" s="16" t="str">
        <f>IFERROR(INDEX(employees!$B$2:$B$37,MATCH(B11,employees!$A$2:$A$37,0)),"")</f>
        <v>Alex Shah</v>
      </c>
      <c r="D11" s="16" t="str">
        <f>IFERROR(INDEX(employees!$C$2:$C$37,MATCH(B11,employees!$A$2:$A$37,0)),"")</f>
        <v>Systems Engineering</v>
      </c>
      <c r="E11" s="16" t="str">
        <f>IFERROR(INDEX(employees!$D$2:$D$37,MATCH(B11,employees!$A$2:$A$37,0)),"")</f>
        <v>Data &amp; Reporting</v>
      </c>
      <c r="F11" s="16" t="str">
        <f>IFERROR(INDEX(employees!$E$2:$E$37,MATCH(B11,employees!$A$2:$A$37,0)),"")</f>
        <v>Engineer</v>
      </c>
      <c r="G11" s="16" t="s">
        <v>149</v>
      </c>
      <c r="H11" s="16" t="str">
        <f>IFERROR(INDEX(competency_model!$C$2:$C$25,MATCH(G11,competency_model!$A$2:$A$25,0)),"")</f>
        <v>Data Analysis</v>
      </c>
      <c r="I11" s="16" t="str">
        <f>IFERROR(INDEX(competency_model!$D$2:$D$25,MATCH(G11,competency_model!$A$2:$A$25,0)),"")</f>
        <v>Python Data Cleaning</v>
      </c>
      <c r="J11" s="16">
        <f>IFERROR(INDEX(competency_model!$F$2:$F$25,MATCH(G11,competency_model!$A$2:$A$25,0)),"")</f>
        <v>4</v>
      </c>
      <c r="K11" s="16" t="str">
        <f>IFERROR(INDEX(competency_model!$G$2:$G$25,MATCH(G11,competency_model!$A$2:$A$25,0)),"")</f>
        <v>High</v>
      </c>
      <c r="L11" s="21">
        <v>2</v>
      </c>
      <c r="M11" s="21">
        <f t="shared" si="0"/>
        <v>2</v>
      </c>
      <c r="N11" s="16" t="str">
        <f t="shared" si="1"/>
        <v>Moderate</v>
      </c>
      <c r="O11" s="21">
        <f t="shared" si="2"/>
        <v>3</v>
      </c>
      <c r="P11" s="21">
        <f t="shared" si="3"/>
        <v>6</v>
      </c>
      <c r="Q11" s="16" t="str">
        <f t="shared" si="4"/>
        <v>Development Needed</v>
      </c>
      <c r="R11" s="16" t="s">
        <v>225</v>
      </c>
      <c r="S11" s="23">
        <v>46057.997197824072</v>
      </c>
      <c r="T11" s="25">
        <f t="shared" ca="1" si="5"/>
        <v>144.00280217592808</v>
      </c>
      <c r="U11" s="16" t="s">
        <v>229</v>
      </c>
      <c r="V11" s="16" t="s">
        <v>239</v>
      </c>
      <c r="W11" s="6" t="str">
        <f ca="1">IF(R11="Missing","Missing evidence",IF(T11&gt;365,"Stale assessment",IF(COUNTIFS($B$2:$B$264,B11,$G$2:$G$264,G11)&gt;1,"Duplicate competency record",IF(INDEX(employees!$H$2:$H$37,MATCH(B11,employees!$A$2:$A$37,0))="Inactive","Inactive account","OK"))))</f>
        <v>OK</v>
      </c>
    </row>
    <row r="12" spans="1:23" ht="15" customHeight="1">
      <c r="A12" s="5" t="s">
        <v>240</v>
      </c>
      <c r="B12" s="16" t="s">
        <v>53</v>
      </c>
      <c r="C12" s="16" t="str">
        <f>IFERROR(INDEX(employees!$B$2:$B$37,MATCH(B12,employees!$A$2:$A$37,0)),"")</f>
        <v>Alex Shah</v>
      </c>
      <c r="D12" s="16" t="str">
        <f>IFERROR(INDEX(employees!$C$2:$C$37,MATCH(B12,employees!$A$2:$A$37,0)),"")</f>
        <v>Systems Engineering</v>
      </c>
      <c r="E12" s="16" t="str">
        <f>IFERROR(INDEX(employees!$D$2:$D$37,MATCH(B12,employees!$A$2:$A$37,0)),"")</f>
        <v>Data &amp; Reporting</v>
      </c>
      <c r="F12" s="16" t="str">
        <f>IFERROR(INDEX(employees!$E$2:$E$37,MATCH(B12,employees!$A$2:$A$37,0)),"")</f>
        <v>Engineer</v>
      </c>
      <c r="G12" s="16" t="s">
        <v>189</v>
      </c>
      <c r="H12" s="16" t="str">
        <f>IFERROR(INDEX(competency_model!$C$2:$C$25,MATCH(G12,competency_model!$A$2:$A$25,0)),"")</f>
        <v>Data Quality</v>
      </c>
      <c r="I12" s="16" t="str">
        <f>IFERROR(INDEX(competency_model!$D$2:$D$25,MATCH(G12,competency_model!$A$2:$A$25,0)),"")</f>
        <v>Duplicate and Missing Value Checks</v>
      </c>
      <c r="J12" s="16">
        <f>IFERROR(INDEX(competency_model!$F$2:$F$25,MATCH(G12,competency_model!$A$2:$A$25,0)),"")</f>
        <v>4</v>
      </c>
      <c r="K12" s="16" t="str">
        <f>IFERROR(INDEX(competency_model!$G$2:$G$25,MATCH(G12,competency_model!$A$2:$A$25,0)),"")</f>
        <v>High</v>
      </c>
      <c r="L12" s="21">
        <v>2</v>
      </c>
      <c r="M12" s="21">
        <f t="shared" si="0"/>
        <v>2</v>
      </c>
      <c r="N12" s="16" t="str">
        <f t="shared" si="1"/>
        <v>Moderate</v>
      </c>
      <c r="O12" s="21">
        <f t="shared" si="2"/>
        <v>3</v>
      </c>
      <c r="P12" s="21">
        <f t="shared" si="3"/>
        <v>6</v>
      </c>
      <c r="Q12" s="16" t="str">
        <f t="shared" si="4"/>
        <v>Development Needed</v>
      </c>
      <c r="R12" s="16" t="s">
        <v>228</v>
      </c>
      <c r="S12" s="23">
        <v>45817.479105381943</v>
      </c>
      <c r="T12" s="25">
        <f t="shared" ca="1" si="5"/>
        <v>384.52089461805735</v>
      </c>
      <c r="U12" s="16" t="s">
        <v>223</v>
      </c>
      <c r="V12" s="16"/>
      <c r="W12" s="6" t="str">
        <f ca="1">IF(R12="Missing","Missing evidence",IF(T12&gt;365,"Stale assessment",IF(COUNTIFS($B$2:$B$264,B12,$G$2:$G$264,G12)&gt;1,"Duplicate competency record",IF(INDEX(employees!$H$2:$H$37,MATCH(B12,employees!$A$2:$A$37,0))="Inactive","Inactive account","OK"))))</f>
        <v>Stale assessment</v>
      </c>
    </row>
    <row r="13" spans="1:23" ht="15" customHeight="1">
      <c r="A13" s="5" t="s">
        <v>241</v>
      </c>
      <c r="B13" s="16" t="s">
        <v>53</v>
      </c>
      <c r="C13" s="16" t="str">
        <f>IFERROR(INDEX(employees!$B$2:$B$37,MATCH(B13,employees!$A$2:$A$37,0)),"")</f>
        <v>Alex Shah</v>
      </c>
      <c r="D13" s="16" t="str">
        <f>IFERROR(INDEX(employees!$C$2:$C$37,MATCH(B13,employees!$A$2:$A$37,0)),"")</f>
        <v>Systems Engineering</v>
      </c>
      <c r="E13" s="16" t="str">
        <f>IFERROR(INDEX(employees!$D$2:$D$37,MATCH(B13,employees!$A$2:$A$37,0)),"")</f>
        <v>Data &amp; Reporting</v>
      </c>
      <c r="F13" s="16" t="str">
        <f>IFERROR(INDEX(employees!$E$2:$E$37,MATCH(B13,employees!$A$2:$A$37,0)),"")</f>
        <v>Engineer</v>
      </c>
      <c r="G13" s="16" t="s">
        <v>151</v>
      </c>
      <c r="H13" s="16" t="str">
        <f>IFERROR(INDEX(competency_model!$C$2:$C$25,MATCH(G13,competency_model!$A$2:$A$25,0)),"")</f>
        <v>Data Analysis</v>
      </c>
      <c r="I13" s="16" t="str">
        <f>IFERROR(INDEX(competency_model!$D$2:$D$25,MATCH(G13,competency_model!$A$2:$A$25,0)),"")</f>
        <v>SQL Querying</v>
      </c>
      <c r="J13" s="16">
        <f>IFERROR(INDEX(competency_model!$F$2:$F$25,MATCH(G13,competency_model!$A$2:$A$25,0)),"")</f>
        <v>3</v>
      </c>
      <c r="K13" s="16" t="str">
        <f>IFERROR(INDEX(competency_model!$G$2:$G$25,MATCH(G13,competency_model!$A$2:$A$25,0)),"")</f>
        <v>Medium</v>
      </c>
      <c r="L13" s="21">
        <v>1</v>
      </c>
      <c r="M13" s="21">
        <f t="shared" si="0"/>
        <v>2</v>
      </c>
      <c r="N13" s="16" t="str">
        <f t="shared" si="1"/>
        <v>Moderate</v>
      </c>
      <c r="O13" s="21">
        <f t="shared" si="2"/>
        <v>2</v>
      </c>
      <c r="P13" s="21">
        <f t="shared" si="3"/>
        <v>4</v>
      </c>
      <c r="Q13" s="16" t="str">
        <f t="shared" si="4"/>
        <v>Development Needed</v>
      </c>
      <c r="R13" s="16" t="s">
        <v>228</v>
      </c>
      <c r="S13" s="23">
        <v>46012.563460243058</v>
      </c>
      <c r="T13" s="25">
        <f t="shared" ca="1" si="5"/>
        <v>189.43653975694178</v>
      </c>
      <c r="U13" s="16" t="s">
        <v>242</v>
      </c>
      <c r="V13" s="16"/>
      <c r="W13" s="6" t="str">
        <f ca="1">IF(R13="Missing","Missing evidence",IF(T13&gt;365,"Stale assessment",IF(COUNTIFS($B$2:$B$264,B13,$G$2:$G$264,G13)&gt;1,"Duplicate competency record",IF(INDEX(employees!$H$2:$H$37,MATCH(B13,employees!$A$2:$A$37,0))="Inactive","Inactive account","OK"))))</f>
        <v>OK</v>
      </c>
    </row>
    <row r="14" spans="1:23" ht="15" customHeight="1">
      <c r="A14" s="5" t="s">
        <v>243</v>
      </c>
      <c r="B14" s="16" t="s">
        <v>53</v>
      </c>
      <c r="C14" s="16" t="str">
        <f>IFERROR(INDEX(employees!$B$2:$B$37,MATCH(B14,employees!$A$2:$A$37,0)),"")</f>
        <v>Alex Shah</v>
      </c>
      <c r="D14" s="16" t="str">
        <f>IFERROR(INDEX(employees!$C$2:$C$37,MATCH(B14,employees!$A$2:$A$37,0)),"")</f>
        <v>Systems Engineering</v>
      </c>
      <c r="E14" s="16" t="str">
        <f>IFERROR(INDEX(employees!$D$2:$D$37,MATCH(B14,employees!$A$2:$A$37,0)),"")</f>
        <v>Data &amp; Reporting</v>
      </c>
      <c r="F14" s="16" t="str">
        <f>IFERROR(INDEX(employees!$E$2:$E$37,MATCH(B14,employees!$A$2:$A$37,0)),"")</f>
        <v>Engineer</v>
      </c>
      <c r="G14" s="16" t="s">
        <v>160</v>
      </c>
      <c r="H14" s="16" t="str">
        <f>IFERROR(INDEX(competency_model!$C$2:$C$25,MATCH(G14,competency_model!$A$2:$A$25,0)),"")</f>
        <v>PowerPoint Presentation</v>
      </c>
      <c r="I14" s="16" t="str">
        <f>IFERROR(INDEX(competency_model!$D$2:$D$25,MATCH(G14,competency_model!$A$2:$A$25,0)),"")</f>
        <v>Leadership Storytelling</v>
      </c>
      <c r="J14" s="16">
        <f>IFERROR(INDEX(competency_model!$F$2:$F$25,MATCH(G14,competency_model!$A$2:$A$25,0)),"")</f>
        <v>3</v>
      </c>
      <c r="K14" s="16" t="str">
        <f>IFERROR(INDEX(competency_model!$G$2:$G$25,MATCH(G14,competency_model!$A$2:$A$25,0)),"")</f>
        <v>Medium</v>
      </c>
      <c r="L14" s="21">
        <v>3</v>
      </c>
      <c r="M14" s="21">
        <f t="shared" si="0"/>
        <v>0</v>
      </c>
      <c r="N14" s="16" t="str">
        <f t="shared" si="1"/>
        <v>No Gap</v>
      </c>
      <c r="O14" s="21">
        <f t="shared" si="2"/>
        <v>2</v>
      </c>
      <c r="P14" s="21">
        <f t="shared" si="3"/>
        <v>0</v>
      </c>
      <c r="Q14" s="16" t="str">
        <f t="shared" si="4"/>
        <v>Ready</v>
      </c>
      <c r="R14" s="16" t="s">
        <v>222</v>
      </c>
      <c r="S14" s="23">
        <v>46005.53837829861</v>
      </c>
      <c r="T14" s="25">
        <f t="shared" ca="1" si="5"/>
        <v>196.46162170138996</v>
      </c>
      <c r="U14" s="16" t="s">
        <v>223</v>
      </c>
      <c r="V14" s="16"/>
      <c r="W14" s="6" t="str">
        <f>IF(R14="Missing","Missing evidence",IF(T14&gt;365,"Stale assessment",IF(COUNTIFS($B$2:$B$264,B14,$G$2:$G$264,G14)&gt;1,"Duplicate competency record",IF(INDEX(employees!$H$2:$H$37,MATCH(B14,employees!$A$2:$A$37,0))="Inactive","Inactive account","OK"))))</f>
        <v>Missing evidence</v>
      </c>
    </row>
    <row r="15" spans="1:23" ht="15" customHeight="1">
      <c r="A15" s="5" t="s">
        <v>244</v>
      </c>
      <c r="B15" s="16" t="s">
        <v>53</v>
      </c>
      <c r="C15" s="16" t="str">
        <f>IFERROR(INDEX(employees!$B$2:$B$37,MATCH(B15,employees!$A$2:$A$37,0)),"")</f>
        <v>Alex Shah</v>
      </c>
      <c r="D15" s="16" t="str">
        <f>IFERROR(INDEX(employees!$C$2:$C$37,MATCH(B15,employees!$A$2:$A$37,0)),"")</f>
        <v>Systems Engineering</v>
      </c>
      <c r="E15" s="16" t="str">
        <f>IFERROR(INDEX(employees!$D$2:$D$37,MATCH(B15,employees!$A$2:$A$37,0)),"")</f>
        <v>Data &amp; Reporting</v>
      </c>
      <c r="F15" s="16" t="str">
        <f>IFERROR(INDEX(employees!$E$2:$E$37,MATCH(B15,employees!$A$2:$A$37,0)),"")</f>
        <v>Engineer</v>
      </c>
      <c r="G15" s="16" t="s">
        <v>202</v>
      </c>
      <c r="H15" s="16" t="str">
        <f>IFERROR(INDEX(competency_model!$C$2:$C$25,MATCH(G15,competency_model!$A$2:$A$25,0)),"")</f>
        <v>Tableau</v>
      </c>
      <c r="I15" s="16" t="str">
        <f>IFERROR(INDEX(competency_model!$D$2:$D$25,MATCH(G15,competency_model!$A$2:$A$25,0)),"")</f>
        <v>Dashboard Filtering and Actions</v>
      </c>
      <c r="J15" s="16">
        <f>IFERROR(INDEX(competency_model!$F$2:$F$25,MATCH(G15,competency_model!$A$2:$A$25,0)),"")</f>
        <v>3</v>
      </c>
      <c r="K15" s="16" t="str">
        <f>IFERROR(INDEX(competency_model!$G$2:$G$25,MATCH(G15,competency_model!$A$2:$A$25,0)),"")</f>
        <v>Medium</v>
      </c>
      <c r="L15" s="21">
        <v>3</v>
      </c>
      <c r="M15" s="21">
        <f t="shared" si="0"/>
        <v>0</v>
      </c>
      <c r="N15" s="16" t="str">
        <f t="shared" si="1"/>
        <v>No Gap</v>
      </c>
      <c r="O15" s="21">
        <f t="shared" si="2"/>
        <v>2</v>
      </c>
      <c r="P15" s="21">
        <f t="shared" si="3"/>
        <v>0</v>
      </c>
      <c r="Q15" s="16" t="str">
        <f t="shared" si="4"/>
        <v>Ready</v>
      </c>
      <c r="R15" s="16" t="s">
        <v>222</v>
      </c>
      <c r="S15" s="23">
        <v>46134.595393877316</v>
      </c>
      <c r="T15" s="25">
        <f t="shared" ca="1" si="5"/>
        <v>67.404606122683617</v>
      </c>
      <c r="U15" s="16" t="s">
        <v>242</v>
      </c>
      <c r="V15" s="16"/>
      <c r="W15" s="6" t="str">
        <f>IF(R15="Missing","Missing evidence",IF(T15&gt;365,"Stale assessment",IF(COUNTIFS($B$2:$B$264,B15,$G$2:$G$264,G15)&gt;1,"Duplicate competency record",IF(INDEX(employees!$H$2:$H$37,MATCH(B15,employees!$A$2:$A$37,0))="Inactive","Inactive account","OK"))))</f>
        <v>Missing evidence</v>
      </c>
    </row>
    <row r="16" spans="1:23" ht="15" customHeight="1">
      <c r="A16" s="5" t="s">
        <v>245</v>
      </c>
      <c r="B16" s="16" t="s">
        <v>53</v>
      </c>
      <c r="C16" s="16" t="str">
        <f>IFERROR(INDEX(employees!$B$2:$B$37,MATCH(B16,employees!$A$2:$A$37,0)),"")</f>
        <v>Alex Shah</v>
      </c>
      <c r="D16" s="16" t="str">
        <f>IFERROR(INDEX(employees!$C$2:$C$37,MATCH(B16,employees!$A$2:$A$37,0)),"")</f>
        <v>Systems Engineering</v>
      </c>
      <c r="E16" s="16" t="str">
        <f>IFERROR(INDEX(employees!$D$2:$D$37,MATCH(B16,employees!$A$2:$A$37,0)),"")</f>
        <v>Data &amp; Reporting</v>
      </c>
      <c r="F16" s="16" t="str">
        <f>IFERROR(INDEX(employees!$E$2:$E$37,MATCH(B16,employees!$A$2:$A$37,0)),"")</f>
        <v>Engineer</v>
      </c>
      <c r="G16" s="16" t="s">
        <v>157</v>
      </c>
      <c r="H16" s="16" t="str">
        <f>IFERROR(INDEX(competency_model!$C$2:$C$25,MATCH(G16,competency_model!$A$2:$A$25,0)),"")</f>
        <v>Tableau</v>
      </c>
      <c r="I16" s="16" t="str">
        <f>IFERROR(INDEX(competency_model!$D$2:$D$25,MATCH(G16,competency_model!$A$2:$A$25,0)),"")</f>
        <v>Tableau Dashboard Building</v>
      </c>
      <c r="J16" s="16">
        <f>IFERROR(INDEX(competency_model!$F$2:$F$25,MATCH(G16,competency_model!$A$2:$A$25,0)),"")</f>
        <v>3</v>
      </c>
      <c r="K16" s="16" t="str">
        <f>IFERROR(INDEX(competency_model!$G$2:$G$25,MATCH(G16,competency_model!$A$2:$A$25,0)),"")</f>
        <v>High</v>
      </c>
      <c r="L16" s="21">
        <v>2</v>
      </c>
      <c r="M16" s="21">
        <f t="shared" si="0"/>
        <v>1</v>
      </c>
      <c r="N16" s="16" t="str">
        <f t="shared" si="1"/>
        <v>Minor</v>
      </c>
      <c r="O16" s="21">
        <f t="shared" si="2"/>
        <v>3</v>
      </c>
      <c r="P16" s="21">
        <f t="shared" si="3"/>
        <v>3</v>
      </c>
      <c r="Q16" s="16" t="str">
        <f t="shared" si="4"/>
        <v>Development Needed</v>
      </c>
      <c r="R16" s="16" t="s">
        <v>228</v>
      </c>
      <c r="S16" s="23">
        <v>45988.594285254629</v>
      </c>
      <c r="T16" s="25">
        <f t="shared" ca="1" si="5"/>
        <v>213.40571474537137</v>
      </c>
      <c r="U16" s="16" t="s">
        <v>242</v>
      </c>
      <c r="V16" s="16" t="s">
        <v>226</v>
      </c>
      <c r="W16" s="6" t="str">
        <f ca="1">IF(R16="Missing","Missing evidence",IF(T16&gt;365,"Stale assessment",IF(COUNTIFS($B$2:$B$264,B16,$G$2:$G$264,G16)&gt;1,"Duplicate competency record",IF(INDEX(employees!$H$2:$H$37,MATCH(B16,employees!$A$2:$A$37,0))="Inactive","Inactive account","OK"))))</f>
        <v>OK</v>
      </c>
    </row>
    <row r="17" spans="1:23" ht="15" customHeight="1">
      <c r="A17" s="5" t="s">
        <v>246</v>
      </c>
      <c r="B17" s="16" t="s">
        <v>53</v>
      </c>
      <c r="C17" s="16" t="str">
        <f>IFERROR(INDEX(employees!$B$2:$B$37,MATCH(B17,employees!$A$2:$A$37,0)),"")</f>
        <v>Alex Shah</v>
      </c>
      <c r="D17" s="16" t="str">
        <f>IFERROR(INDEX(employees!$C$2:$C$37,MATCH(B17,employees!$A$2:$A$37,0)),"")</f>
        <v>Systems Engineering</v>
      </c>
      <c r="E17" s="16" t="str">
        <f>IFERROR(INDEX(employees!$D$2:$D$37,MATCH(B17,employees!$A$2:$A$37,0)),"")</f>
        <v>Data &amp; Reporting</v>
      </c>
      <c r="F17" s="16" t="str">
        <f>IFERROR(INDEX(employees!$E$2:$E$37,MATCH(B17,employees!$A$2:$A$37,0)),"")</f>
        <v>Engineer</v>
      </c>
      <c r="G17" s="16" t="s">
        <v>144</v>
      </c>
      <c r="H17" s="16" t="str">
        <f>IFERROR(INDEX(competency_model!$C$2:$C$25,MATCH(G17,competency_model!$A$2:$A$25,0)),"")</f>
        <v>Data Analysis</v>
      </c>
      <c r="I17" s="16" t="str">
        <f>IFERROR(INDEX(competency_model!$D$2:$D$25,MATCH(G17,competency_model!$A$2:$A$25,0)),"")</f>
        <v>Excel Data Cleaning</v>
      </c>
      <c r="J17" s="16">
        <f>IFERROR(INDEX(competency_model!$F$2:$F$25,MATCH(G17,competency_model!$A$2:$A$25,0)),"")</f>
        <v>4</v>
      </c>
      <c r="K17" s="16" t="str">
        <f>IFERROR(INDEX(competency_model!$G$2:$G$25,MATCH(G17,competency_model!$A$2:$A$25,0)),"")</f>
        <v>High</v>
      </c>
      <c r="L17" s="21">
        <v>2</v>
      </c>
      <c r="M17" s="21">
        <f t="shared" si="0"/>
        <v>2</v>
      </c>
      <c r="N17" s="16" t="str">
        <f t="shared" si="1"/>
        <v>Moderate</v>
      </c>
      <c r="O17" s="21">
        <f t="shared" si="2"/>
        <v>3</v>
      </c>
      <c r="P17" s="21">
        <f t="shared" si="3"/>
        <v>6</v>
      </c>
      <c r="Q17" s="16" t="str">
        <f t="shared" si="4"/>
        <v>Development Needed</v>
      </c>
      <c r="R17" s="16" t="s">
        <v>228</v>
      </c>
      <c r="S17" s="23">
        <v>46103.95479596065</v>
      </c>
      <c r="T17" s="25">
        <f t="shared" ca="1" si="5"/>
        <v>98.04520403935021</v>
      </c>
      <c r="U17" s="16" t="s">
        <v>223</v>
      </c>
      <c r="V17" s="16"/>
      <c r="W17" s="6" t="str">
        <f ca="1">IF(R17="Missing","Missing evidence",IF(T17&gt;365,"Stale assessment",IF(COUNTIFS($B$2:$B$264,B17,$G$2:$G$264,G17)&gt;1,"Duplicate competency record",IF(INDEX(employees!$H$2:$H$37,MATCH(B17,employees!$A$2:$A$37,0))="Inactive","Inactive account","OK"))))</f>
        <v>OK</v>
      </c>
    </row>
    <row r="18" spans="1:23" ht="15" customHeight="1">
      <c r="A18" s="5" t="s">
        <v>247</v>
      </c>
      <c r="B18" s="16" t="s">
        <v>58</v>
      </c>
      <c r="C18" s="16" t="str">
        <f>IFERROR(INDEX(employees!$B$2:$B$37,MATCH(B18,employees!$A$2:$A$37,0)),"")</f>
        <v>Jamie Taylor</v>
      </c>
      <c r="D18" s="16" t="str">
        <f>IFERROR(INDEX(employees!$C$2:$C$37,MATCH(B18,employees!$A$2:$A$37,0)),"")</f>
        <v>Asset Management</v>
      </c>
      <c r="E18" s="16" t="str">
        <f>IFERROR(INDEX(employees!$D$2:$D$37,MATCH(B18,employees!$A$2:$A$37,0)),"")</f>
        <v>Systems Engineering</v>
      </c>
      <c r="F18" s="16" t="str">
        <f>IFERROR(INDEX(employees!$E$2:$E$37,MATCH(B18,employees!$A$2:$A$37,0)),"")</f>
        <v>Engineer</v>
      </c>
      <c r="G18" s="16" t="s">
        <v>175</v>
      </c>
      <c r="H18" s="16" t="str">
        <f>IFERROR(INDEX(competency_model!$C$2:$C$25,MATCH(G18,competency_model!$A$2:$A$25,0)),"")</f>
        <v>Safety / Compliance</v>
      </c>
      <c r="I18" s="16" t="str">
        <f>IFERROR(INDEX(competency_model!$D$2:$D$25,MATCH(G18,competency_model!$A$2:$A$25,0)),"")</f>
        <v>Engineering Safety Awareness</v>
      </c>
      <c r="J18" s="16">
        <f>IFERROR(INDEX(competency_model!$F$2:$F$25,MATCH(G18,competency_model!$A$2:$A$25,0)),"")</f>
        <v>4</v>
      </c>
      <c r="K18" s="16" t="str">
        <f>IFERROR(INDEX(competency_model!$G$2:$G$25,MATCH(G18,competency_model!$A$2:$A$25,0)),"")</f>
        <v>High</v>
      </c>
      <c r="L18" s="21">
        <v>4</v>
      </c>
      <c r="M18" s="21">
        <f t="shared" si="0"/>
        <v>0</v>
      </c>
      <c r="N18" s="16" t="str">
        <f t="shared" si="1"/>
        <v>No Gap</v>
      </c>
      <c r="O18" s="21">
        <f t="shared" si="2"/>
        <v>3</v>
      </c>
      <c r="P18" s="21">
        <f t="shared" si="3"/>
        <v>0</v>
      </c>
      <c r="Q18" s="16" t="str">
        <f t="shared" si="4"/>
        <v>Ready</v>
      </c>
      <c r="R18" s="16" t="s">
        <v>228</v>
      </c>
      <c r="S18" s="23">
        <v>45764.866807604165</v>
      </c>
      <c r="T18" s="25">
        <f t="shared" ca="1" si="5"/>
        <v>437.13319239583507</v>
      </c>
      <c r="U18" s="16" t="s">
        <v>223</v>
      </c>
      <c r="V18" s="16"/>
      <c r="W18" s="6" t="str">
        <f ca="1">IF(R18="Missing","Missing evidence",IF(T18&gt;365,"Stale assessment",IF(COUNTIFS($B$2:$B$264,B18,$G$2:$G$264,G18)&gt;1,"Duplicate competency record",IF(INDEX(employees!$H$2:$H$37,MATCH(B18,employees!$A$2:$A$37,0))="Inactive","Inactive account","OK"))))</f>
        <v>Stale assessment</v>
      </c>
    </row>
    <row r="19" spans="1:23" ht="15" customHeight="1">
      <c r="A19" s="5" t="s">
        <v>248</v>
      </c>
      <c r="B19" s="16" t="s">
        <v>58</v>
      </c>
      <c r="C19" s="16" t="str">
        <f>IFERROR(INDEX(employees!$B$2:$B$37,MATCH(B19,employees!$A$2:$A$37,0)),"")</f>
        <v>Jamie Taylor</v>
      </c>
      <c r="D19" s="16" t="str">
        <f>IFERROR(INDEX(employees!$C$2:$C$37,MATCH(B19,employees!$A$2:$A$37,0)),"")</f>
        <v>Asset Management</v>
      </c>
      <c r="E19" s="16" t="str">
        <f>IFERROR(INDEX(employees!$D$2:$D$37,MATCH(B19,employees!$A$2:$A$37,0)),"")</f>
        <v>Systems Engineering</v>
      </c>
      <c r="F19" s="16" t="str">
        <f>IFERROR(INDEX(employees!$E$2:$E$37,MATCH(B19,employees!$A$2:$A$37,0)),"")</f>
        <v>Engineer</v>
      </c>
      <c r="G19" s="16" t="s">
        <v>163</v>
      </c>
      <c r="H19" s="16" t="str">
        <f>IFERROR(INDEX(competency_model!$C$2:$C$25,MATCH(G19,competency_model!$A$2:$A$25,0)),"")</f>
        <v>Engineering Documentation</v>
      </c>
      <c r="I19" s="16" t="str">
        <f>IFERROR(INDEX(competency_model!$D$2:$D$25,MATCH(G19,competency_model!$A$2:$A$25,0)),"")</f>
        <v>Technical Documentation</v>
      </c>
      <c r="J19" s="16">
        <f>IFERROR(INDEX(competency_model!$F$2:$F$25,MATCH(G19,competency_model!$A$2:$A$25,0)),"")</f>
        <v>4</v>
      </c>
      <c r="K19" s="16" t="str">
        <f>IFERROR(INDEX(competency_model!$G$2:$G$25,MATCH(G19,competency_model!$A$2:$A$25,0)),"")</f>
        <v>High</v>
      </c>
      <c r="L19" s="21">
        <v>4</v>
      </c>
      <c r="M19" s="21">
        <f t="shared" si="0"/>
        <v>0</v>
      </c>
      <c r="N19" s="16" t="str">
        <f t="shared" si="1"/>
        <v>No Gap</v>
      </c>
      <c r="O19" s="21">
        <f t="shared" si="2"/>
        <v>3</v>
      </c>
      <c r="P19" s="21">
        <f t="shared" si="3"/>
        <v>0</v>
      </c>
      <c r="Q19" s="16" t="str">
        <f t="shared" si="4"/>
        <v>Ready</v>
      </c>
      <c r="R19" s="16" t="s">
        <v>222</v>
      </c>
      <c r="S19" s="23">
        <v>45974.815935787039</v>
      </c>
      <c r="T19" s="25">
        <f t="shared" ca="1" si="5"/>
        <v>227.18406421296095</v>
      </c>
      <c r="U19" s="16" t="s">
        <v>223</v>
      </c>
      <c r="V19" s="16" t="s">
        <v>231</v>
      </c>
      <c r="W19" s="6" t="str">
        <f>IF(R19="Missing","Missing evidence",IF(T19&gt;365,"Stale assessment",IF(COUNTIFS($B$2:$B$264,B19,$G$2:$G$264,G19)&gt;1,"Duplicate competency record",IF(INDEX(employees!$H$2:$H$37,MATCH(B19,employees!$A$2:$A$37,0))="Inactive","Inactive account","OK"))))</f>
        <v>Missing evidence</v>
      </c>
    </row>
    <row r="20" spans="1:23" ht="15" customHeight="1">
      <c r="A20" s="5" t="s">
        <v>249</v>
      </c>
      <c r="B20" s="16" t="s">
        <v>58</v>
      </c>
      <c r="C20" s="16" t="str">
        <f>IFERROR(INDEX(employees!$B$2:$B$37,MATCH(B20,employees!$A$2:$A$37,0)),"")</f>
        <v>Jamie Taylor</v>
      </c>
      <c r="D20" s="16" t="str">
        <f>IFERROR(INDEX(employees!$C$2:$C$37,MATCH(B20,employees!$A$2:$A$37,0)),"")</f>
        <v>Asset Management</v>
      </c>
      <c r="E20" s="16" t="str">
        <f>IFERROR(INDEX(employees!$D$2:$D$37,MATCH(B20,employees!$A$2:$A$37,0)),"")</f>
        <v>Systems Engineering</v>
      </c>
      <c r="F20" s="16" t="str">
        <f>IFERROR(INDEX(employees!$E$2:$E$37,MATCH(B20,employees!$A$2:$A$37,0)),"")</f>
        <v>Engineer</v>
      </c>
      <c r="G20" s="16" t="s">
        <v>181</v>
      </c>
      <c r="H20" s="16" t="str">
        <f>IFERROR(INDEX(competency_model!$C$2:$C$25,MATCH(G20,competency_model!$A$2:$A$25,0)),"")</f>
        <v>Stakeholder Communication</v>
      </c>
      <c r="I20" s="16" t="str">
        <f>IFERROR(INDEX(competency_model!$D$2:$D$25,MATCH(G20,competency_model!$A$2:$A$25,0)),"")</f>
        <v>Cross-Functional Updates</v>
      </c>
      <c r="J20" s="16">
        <f>IFERROR(INDEX(competency_model!$F$2:$F$25,MATCH(G20,competency_model!$A$2:$A$25,0)),"")</f>
        <v>3</v>
      </c>
      <c r="K20" s="16" t="str">
        <f>IFERROR(INDEX(competency_model!$G$2:$G$25,MATCH(G20,competency_model!$A$2:$A$25,0)),"")</f>
        <v>Medium</v>
      </c>
      <c r="L20" s="21">
        <v>1</v>
      </c>
      <c r="M20" s="21">
        <f t="shared" si="0"/>
        <v>2</v>
      </c>
      <c r="N20" s="16" t="str">
        <f t="shared" si="1"/>
        <v>Moderate</v>
      </c>
      <c r="O20" s="21">
        <f t="shared" si="2"/>
        <v>2</v>
      </c>
      <c r="P20" s="21">
        <f t="shared" si="3"/>
        <v>4</v>
      </c>
      <c r="Q20" s="16" t="str">
        <f t="shared" si="4"/>
        <v>Development Needed</v>
      </c>
      <c r="R20" s="16" t="s">
        <v>222</v>
      </c>
      <c r="S20" s="23">
        <v>46036.757929224535</v>
      </c>
      <c r="T20" s="25">
        <f t="shared" ca="1" si="5"/>
        <v>165.24207077546453</v>
      </c>
      <c r="U20" s="16" t="s">
        <v>223</v>
      </c>
      <c r="V20" s="16"/>
      <c r="W20" s="6" t="str">
        <f>IF(R20="Missing","Missing evidence",IF(T20&gt;365,"Stale assessment",IF(COUNTIFS($B$2:$B$264,B20,$G$2:$G$264,G20)&gt;1,"Duplicate competency record",IF(INDEX(employees!$H$2:$H$37,MATCH(B20,employees!$A$2:$A$37,0))="Inactive","Inactive account","OK"))))</f>
        <v>Missing evidence</v>
      </c>
    </row>
    <row r="21" spans="1:23" ht="15" customHeight="1">
      <c r="A21" s="5" t="s">
        <v>250</v>
      </c>
      <c r="B21" s="16" t="s">
        <v>58</v>
      </c>
      <c r="C21" s="16" t="str">
        <f>IFERROR(INDEX(employees!$B$2:$B$37,MATCH(B21,employees!$A$2:$A$37,0)),"")</f>
        <v>Jamie Taylor</v>
      </c>
      <c r="D21" s="16" t="str">
        <f>IFERROR(INDEX(employees!$C$2:$C$37,MATCH(B21,employees!$A$2:$A$37,0)),"")</f>
        <v>Asset Management</v>
      </c>
      <c r="E21" s="16" t="str">
        <f>IFERROR(INDEX(employees!$D$2:$D$37,MATCH(B21,employees!$A$2:$A$37,0)),"")</f>
        <v>Systems Engineering</v>
      </c>
      <c r="F21" s="16" t="str">
        <f>IFERROR(INDEX(employees!$E$2:$E$37,MATCH(B21,employees!$A$2:$A$37,0)),"")</f>
        <v>Engineer</v>
      </c>
      <c r="G21" s="16" t="s">
        <v>206</v>
      </c>
      <c r="H21" s="16" t="str">
        <f>IFERROR(INDEX(competency_model!$C$2:$C$25,MATCH(G21,competency_model!$A$2:$A$25,0)),"")</f>
        <v>Asset Management</v>
      </c>
      <c r="I21" s="16" t="str">
        <f>IFERROR(INDEX(competency_model!$D$2:$D$25,MATCH(G21,competency_model!$A$2:$A$25,0)),"")</f>
        <v>Engineering Performance Indicators</v>
      </c>
      <c r="J21" s="16">
        <f>IFERROR(INDEX(competency_model!$F$2:$F$25,MATCH(G21,competency_model!$A$2:$A$25,0)),"")</f>
        <v>3</v>
      </c>
      <c r="K21" s="16" t="str">
        <f>IFERROR(INDEX(competency_model!$G$2:$G$25,MATCH(G21,competency_model!$A$2:$A$25,0)),"")</f>
        <v>High</v>
      </c>
      <c r="L21" s="21">
        <v>1</v>
      </c>
      <c r="M21" s="21">
        <f t="shared" si="0"/>
        <v>2</v>
      </c>
      <c r="N21" s="16" t="str">
        <f t="shared" si="1"/>
        <v>Moderate</v>
      </c>
      <c r="O21" s="21">
        <f t="shared" si="2"/>
        <v>3</v>
      </c>
      <c r="P21" s="21">
        <f t="shared" si="3"/>
        <v>6</v>
      </c>
      <c r="Q21" s="16" t="str">
        <f t="shared" si="4"/>
        <v>Development Needed</v>
      </c>
      <c r="R21" s="16" t="s">
        <v>228</v>
      </c>
      <c r="S21" s="23">
        <v>46064.11455165509</v>
      </c>
      <c r="T21" s="25">
        <f t="shared" ca="1" si="5"/>
        <v>137.8854483449104</v>
      </c>
      <c r="U21" s="16" t="s">
        <v>223</v>
      </c>
      <c r="V21" s="16" t="s">
        <v>239</v>
      </c>
      <c r="W21" s="6" t="str">
        <f ca="1">IF(R21="Missing","Missing evidence",IF(T21&gt;365,"Stale assessment",IF(COUNTIFS($B$2:$B$264,B21,$G$2:$G$264,G21)&gt;1,"Duplicate competency record",IF(INDEX(employees!$H$2:$H$37,MATCH(B21,employees!$A$2:$A$37,0))="Inactive","Inactive account","OK"))))</f>
        <v>OK</v>
      </c>
    </row>
    <row r="22" spans="1:23" ht="15" customHeight="1">
      <c r="A22" s="5" t="s">
        <v>251</v>
      </c>
      <c r="B22" s="16" t="s">
        <v>58</v>
      </c>
      <c r="C22" s="16" t="str">
        <f>IFERROR(INDEX(employees!$B$2:$B$37,MATCH(B22,employees!$A$2:$A$37,0)),"")</f>
        <v>Jamie Taylor</v>
      </c>
      <c r="D22" s="16" t="str">
        <f>IFERROR(INDEX(employees!$C$2:$C$37,MATCH(B22,employees!$A$2:$A$37,0)),"")</f>
        <v>Asset Management</v>
      </c>
      <c r="E22" s="16" t="str">
        <f>IFERROR(INDEX(employees!$D$2:$D$37,MATCH(B22,employees!$A$2:$A$37,0)),"")</f>
        <v>Systems Engineering</v>
      </c>
      <c r="F22" s="16" t="str">
        <f>IFERROR(INDEX(employees!$E$2:$E$37,MATCH(B22,employees!$A$2:$A$37,0)),"")</f>
        <v>Engineer</v>
      </c>
      <c r="G22" s="16" t="s">
        <v>197</v>
      </c>
      <c r="H22" s="16" t="str">
        <f>IFERROR(INDEX(competency_model!$C$2:$C$25,MATCH(G22,competency_model!$A$2:$A$25,0)),"")</f>
        <v>User Support</v>
      </c>
      <c r="I22" s="16" t="str">
        <f>IFERROR(INDEX(competency_model!$D$2:$D$25,MATCH(G22,competency_model!$A$2:$A$25,0)),"")</f>
        <v>Competency Tool User Support</v>
      </c>
      <c r="J22" s="16">
        <f>IFERROR(INDEX(competency_model!$F$2:$F$25,MATCH(G22,competency_model!$A$2:$A$25,0)),"")</f>
        <v>3</v>
      </c>
      <c r="K22" s="16" t="str">
        <f>IFERROR(INDEX(competency_model!$G$2:$G$25,MATCH(G22,competency_model!$A$2:$A$25,0)),"")</f>
        <v>Medium</v>
      </c>
      <c r="L22" s="21">
        <v>1</v>
      </c>
      <c r="M22" s="21">
        <f t="shared" si="0"/>
        <v>2</v>
      </c>
      <c r="N22" s="16" t="str">
        <f t="shared" si="1"/>
        <v>Moderate</v>
      </c>
      <c r="O22" s="21">
        <f t="shared" si="2"/>
        <v>2</v>
      </c>
      <c r="P22" s="21">
        <f t="shared" si="3"/>
        <v>4</v>
      </c>
      <c r="Q22" s="16" t="str">
        <f t="shared" si="4"/>
        <v>Development Needed</v>
      </c>
      <c r="R22" s="16" t="s">
        <v>228</v>
      </c>
      <c r="S22" s="23">
        <v>46050.804945254633</v>
      </c>
      <c r="T22" s="25">
        <f t="shared" ca="1" si="5"/>
        <v>151.19505474536709</v>
      </c>
      <c r="U22" s="16" t="s">
        <v>223</v>
      </c>
      <c r="V22" s="16"/>
      <c r="W22" s="6" t="str">
        <f ca="1">IF(R22="Missing","Missing evidence",IF(T22&gt;365,"Stale assessment",IF(COUNTIFS($B$2:$B$264,B22,$G$2:$G$264,G22)&gt;1,"Duplicate competency record",IF(INDEX(employees!$H$2:$H$37,MATCH(B22,employees!$A$2:$A$37,0))="Inactive","Inactive account","OK"))))</f>
        <v>OK</v>
      </c>
    </row>
    <row r="23" spans="1:23" ht="15" customHeight="1">
      <c r="A23" s="5" t="s">
        <v>252</v>
      </c>
      <c r="B23" s="16" t="s">
        <v>58</v>
      </c>
      <c r="C23" s="16" t="str">
        <f>IFERROR(INDEX(employees!$B$2:$B$37,MATCH(B23,employees!$A$2:$A$37,0)),"")</f>
        <v>Jamie Taylor</v>
      </c>
      <c r="D23" s="16" t="str">
        <f>IFERROR(INDEX(employees!$C$2:$C$37,MATCH(B23,employees!$A$2:$A$37,0)),"")</f>
        <v>Asset Management</v>
      </c>
      <c r="E23" s="16" t="str">
        <f>IFERROR(INDEX(employees!$D$2:$D$37,MATCH(B23,employees!$A$2:$A$37,0)),"")</f>
        <v>Systems Engineering</v>
      </c>
      <c r="F23" s="16" t="str">
        <f>IFERROR(INDEX(employees!$E$2:$E$37,MATCH(B23,employees!$A$2:$A$37,0)),"")</f>
        <v>Engineer</v>
      </c>
      <c r="G23" s="16" t="s">
        <v>178</v>
      </c>
      <c r="H23" s="16" t="str">
        <f>IFERROR(INDEX(competency_model!$C$2:$C$25,MATCH(G23,competency_model!$A$2:$A$25,0)),"")</f>
        <v>Stakeholder Communication</v>
      </c>
      <c r="I23" s="16" t="str">
        <f>IFERROR(INDEX(competency_model!$D$2:$D$25,MATCH(G23,competency_model!$A$2:$A$25,0)),"")</f>
        <v>Non-Technical Explanation</v>
      </c>
      <c r="J23" s="16">
        <f>IFERROR(INDEX(competency_model!$F$2:$F$25,MATCH(G23,competency_model!$A$2:$A$25,0)),"")</f>
        <v>3</v>
      </c>
      <c r="K23" s="16" t="str">
        <f>IFERROR(INDEX(competency_model!$G$2:$G$25,MATCH(G23,competency_model!$A$2:$A$25,0)),"")</f>
        <v>Medium</v>
      </c>
      <c r="L23" s="21">
        <v>3</v>
      </c>
      <c r="M23" s="21">
        <f t="shared" si="0"/>
        <v>0</v>
      </c>
      <c r="N23" s="16" t="str">
        <f t="shared" si="1"/>
        <v>No Gap</v>
      </c>
      <c r="O23" s="21">
        <f t="shared" si="2"/>
        <v>2</v>
      </c>
      <c r="P23" s="21">
        <f t="shared" si="3"/>
        <v>0</v>
      </c>
      <c r="Q23" s="16" t="str">
        <f t="shared" si="4"/>
        <v>Ready</v>
      </c>
      <c r="R23" s="16" t="s">
        <v>225</v>
      </c>
      <c r="S23" s="23">
        <v>46098.117303530089</v>
      </c>
      <c r="T23" s="25">
        <f t="shared" ca="1" si="5"/>
        <v>103.88269646991102</v>
      </c>
      <c r="U23" s="16" t="s">
        <v>229</v>
      </c>
      <c r="V23" s="16" t="s">
        <v>226</v>
      </c>
      <c r="W23" s="6" t="str">
        <f ca="1">IF(R23="Missing","Missing evidence",IF(T23&gt;365,"Stale assessment",IF(COUNTIFS($B$2:$B$264,B23,$G$2:$G$264,G23)&gt;1,"Duplicate competency record",IF(INDEX(employees!$H$2:$H$37,MATCH(B23,employees!$A$2:$A$37,0))="Inactive","Inactive account","OK"))))</f>
        <v>OK</v>
      </c>
    </row>
    <row r="24" spans="1:23" ht="15" customHeight="1">
      <c r="A24" s="5" t="s">
        <v>253</v>
      </c>
      <c r="B24" s="16" t="s">
        <v>58</v>
      </c>
      <c r="C24" s="16" t="str">
        <f>IFERROR(INDEX(employees!$B$2:$B$37,MATCH(B24,employees!$A$2:$A$37,0)),"")</f>
        <v>Jamie Taylor</v>
      </c>
      <c r="D24" s="16" t="str">
        <f>IFERROR(INDEX(employees!$C$2:$C$37,MATCH(B24,employees!$A$2:$A$37,0)),"")</f>
        <v>Asset Management</v>
      </c>
      <c r="E24" s="16" t="str">
        <f>IFERROR(INDEX(employees!$D$2:$D$37,MATCH(B24,employees!$A$2:$A$37,0)),"")</f>
        <v>Systems Engineering</v>
      </c>
      <c r="F24" s="16" t="str">
        <f>IFERROR(INDEX(employees!$E$2:$E$37,MATCH(B24,employees!$A$2:$A$37,0)),"")</f>
        <v>Engineer</v>
      </c>
      <c r="G24" s="16" t="s">
        <v>160</v>
      </c>
      <c r="H24" s="16" t="str">
        <f>IFERROR(INDEX(competency_model!$C$2:$C$25,MATCH(G24,competency_model!$A$2:$A$25,0)),"")</f>
        <v>PowerPoint Presentation</v>
      </c>
      <c r="I24" s="16" t="str">
        <f>IFERROR(INDEX(competency_model!$D$2:$D$25,MATCH(G24,competency_model!$A$2:$A$25,0)),"")</f>
        <v>Leadership Storytelling</v>
      </c>
      <c r="J24" s="16">
        <f>IFERROR(INDEX(competency_model!$F$2:$F$25,MATCH(G24,competency_model!$A$2:$A$25,0)),"")</f>
        <v>3</v>
      </c>
      <c r="K24" s="16" t="str">
        <f>IFERROR(INDEX(competency_model!$G$2:$G$25,MATCH(G24,competency_model!$A$2:$A$25,0)),"")</f>
        <v>Medium</v>
      </c>
      <c r="L24" s="21">
        <v>2</v>
      </c>
      <c r="M24" s="21">
        <f t="shared" si="0"/>
        <v>1</v>
      </c>
      <c r="N24" s="16" t="str">
        <f t="shared" si="1"/>
        <v>Minor</v>
      </c>
      <c r="O24" s="21">
        <f t="shared" si="2"/>
        <v>2</v>
      </c>
      <c r="P24" s="21">
        <f t="shared" si="3"/>
        <v>2</v>
      </c>
      <c r="Q24" s="16" t="str">
        <f t="shared" si="4"/>
        <v>Development Needed</v>
      </c>
      <c r="R24" s="16" t="s">
        <v>228</v>
      </c>
      <c r="S24" s="23">
        <v>45778.005624976853</v>
      </c>
      <c r="T24" s="25">
        <f t="shared" ca="1" si="5"/>
        <v>423.99437502314686</v>
      </c>
      <c r="U24" s="16" t="s">
        <v>223</v>
      </c>
      <c r="V24" s="16" t="s">
        <v>226</v>
      </c>
      <c r="W24" s="6" t="str">
        <f ca="1">IF(R24="Missing","Missing evidence",IF(T24&gt;365,"Stale assessment",IF(COUNTIFS($B$2:$B$264,B24,$G$2:$G$264,G24)&gt;1,"Duplicate competency record",IF(INDEX(employees!$H$2:$H$37,MATCH(B24,employees!$A$2:$A$37,0))="Inactive","Inactive account","OK"))))</f>
        <v>Stale assessment</v>
      </c>
    </row>
    <row r="25" spans="1:23" ht="15" customHeight="1">
      <c r="A25" s="5" t="s">
        <v>254</v>
      </c>
      <c r="B25" s="16" t="s">
        <v>60</v>
      </c>
      <c r="C25" s="16" t="str">
        <f>IFERROR(INDEX(employees!$B$2:$B$37,MATCH(B25,employees!$A$2:$A$37,0)),"")</f>
        <v>Riley Chen</v>
      </c>
      <c r="D25" s="16" t="str">
        <f>IFERROR(INDEX(employees!$C$2:$C$37,MATCH(B25,employees!$A$2:$A$37,0)),"")</f>
        <v>Protection &amp; Control</v>
      </c>
      <c r="E25" s="16" t="str">
        <f>IFERROR(INDEX(employees!$D$2:$D$37,MATCH(B25,employees!$A$2:$A$37,0)),"")</f>
        <v>Engineering Management</v>
      </c>
      <c r="F25" s="16" t="str">
        <f>IFERROR(INDEX(employees!$E$2:$E$37,MATCH(B25,employees!$A$2:$A$37,0)),"")</f>
        <v>Engineer</v>
      </c>
      <c r="G25" s="16" t="s">
        <v>197</v>
      </c>
      <c r="H25" s="16" t="str">
        <f>IFERROR(INDEX(competency_model!$C$2:$C$25,MATCH(G25,competency_model!$A$2:$A$25,0)),"")</f>
        <v>User Support</v>
      </c>
      <c r="I25" s="16" t="str">
        <f>IFERROR(INDEX(competency_model!$D$2:$D$25,MATCH(G25,competency_model!$A$2:$A$25,0)),"")</f>
        <v>Competency Tool User Support</v>
      </c>
      <c r="J25" s="16">
        <f>IFERROR(INDEX(competency_model!$F$2:$F$25,MATCH(G25,competency_model!$A$2:$A$25,0)),"")</f>
        <v>3</v>
      </c>
      <c r="K25" s="16" t="str">
        <f>IFERROR(INDEX(competency_model!$G$2:$G$25,MATCH(G25,competency_model!$A$2:$A$25,0)),"")</f>
        <v>Medium</v>
      </c>
      <c r="L25" s="21">
        <v>1</v>
      </c>
      <c r="M25" s="21">
        <f t="shared" si="0"/>
        <v>2</v>
      </c>
      <c r="N25" s="16" t="str">
        <f t="shared" si="1"/>
        <v>Moderate</v>
      </c>
      <c r="O25" s="21">
        <f t="shared" si="2"/>
        <v>2</v>
      </c>
      <c r="P25" s="21">
        <f t="shared" si="3"/>
        <v>4</v>
      </c>
      <c r="Q25" s="16" t="str">
        <f t="shared" si="4"/>
        <v>Development Needed</v>
      </c>
      <c r="R25" s="16" t="s">
        <v>228</v>
      </c>
      <c r="S25" s="23">
        <v>45676.128259432873</v>
      </c>
      <c r="T25" s="25">
        <f t="shared" ca="1" si="5"/>
        <v>525.87174056712684</v>
      </c>
      <c r="U25" s="16" t="s">
        <v>229</v>
      </c>
      <c r="V25" s="16" t="s">
        <v>239</v>
      </c>
      <c r="W25" s="6" t="str">
        <f ca="1">IF(R25="Missing","Missing evidence",IF(T25&gt;365,"Stale assessment",IF(COUNTIFS($B$2:$B$264,B25,$G$2:$G$264,G25)&gt;1,"Duplicate competency record",IF(INDEX(employees!$H$2:$H$37,MATCH(B25,employees!$A$2:$A$37,0))="Inactive","Inactive account","OK"))))</f>
        <v>Stale assessment</v>
      </c>
    </row>
    <row r="26" spans="1:23" ht="15" customHeight="1">
      <c r="A26" s="5" t="s">
        <v>255</v>
      </c>
      <c r="B26" s="16" t="s">
        <v>60</v>
      </c>
      <c r="C26" s="16" t="str">
        <f>IFERROR(INDEX(employees!$B$2:$B$37,MATCH(B26,employees!$A$2:$A$37,0)),"")</f>
        <v>Riley Chen</v>
      </c>
      <c r="D26" s="16" t="str">
        <f>IFERROR(INDEX(employees!$C$2:$C$37,MATCH(B26,employees!$A$2:$A$37,0)),"")</f>
        <v>Protection &amp; Control</v>
      </c>
      <c r="E26" s="16" t="str">
        <f>IFERROR(INDEX(employees!$D$2:$D$37,MATCH(B26,employees!$A$2:$A$37,0)),"")</f>
        <v>Engineering Management</v>
      </c>
      <c r="F26" s="16" t="str">
        <f>IFERROR(INDEX(employees!$E$2:$E$37,MATCH(B26,employees!$A$2:$A$37,0)),"")</f>
        <v>Engineer</v>
      </c>
      <c r="G26" s="16" t="s">
        <v>178</v>
      </c>
      <c r="H26" s="16" t="str">
        <f>IFERROR(INDEX(competency_model!$C$2:$C$25,MATCH(G26,competency_model!$A$2:$A$25,0)),"")</f>
        <v>Stakeholder Communication</v>
      </c>
      <c r="I26" s="16" t="str">
        <f>IFERROR(INDEX(competency_model!$D$2:$D$25,MATCH(G26,competency_model!$A$2:$A$25,0)),"")</f>
        <v>Non-Technical Explanation</v>
      </c>
      <c r="J26" s="16">
        <f>IFERROR(INDEX(competency_model!$F$2:$F$25,MATCH(G26,competency_model!$A$2:$A$25,0)),"")</f>
        <v>3</v>
      </c>
      <c r="K26" s="16" t="str">
        <f>IFERROR(INDEX(competency_model!$G$2:$G$25,MATCH(G26,competency_model!$A$2:$A$25,0)),"")</f>
        <v>Medium</v>
      </c>
      <c r="L26" s="21">
        <v>1</v>
      </c>
      <c r="M26" s="21">
        <f t="shared" si="0"/>
        <v>2</v>
      </c>
      <c r="N26" s="16" t="str">
        <f t="shared" si="1"/>
        <v>Moderate</v>
      </c>
      <c r="O26" s="21">
        <f t="shared" si="2"/>
        <v>2</v>
      </c>
      <c r="P26" s="21">
        <f t="shared" si="3"/>
        <v>4</v>
      </c>
      <c r="Q26" s="16" t="str">
        <f t="shared" si="4"/>
        <v>Development Needed</v>
      </c>
      <c r="R26" s="16" t="s">
        <v>228</v>
      </c>
      <c r="S26" s="23">
        <v>45695.49719652778</v>
      </c>
      <c r="T26" s="25">
        <f t="shared" ca="1" si="5"/>
        <v>506.50280347221997</v>
      </c>
      <c r="U26" s="16" t="s">
        <v>242</v>
      </c>
      <c r="V26" s="16" t="s">
        <v>231</v>
      </c>
      <c r="W26" s="6" t="str">
        <f ca="1">IF(R26="Missing","Missing evidence",IF(T26&gt;365,"Stale assessment",IF(COUNTIFS($B$2:$B$264,B26,$G$2:$G$264,G26)&gt;1,"Duplicate competency record",IF(INDEX(employees!$H$2:$H$37,MATCH(B26,employees!$A$2:$A$37,0))="Inactive","Inactive account","OK"))))</f>
        <v>Stale assessment</v>
      </c>
    </row>
    <row r="27" spans="1:23" ht="15" customHeight="1">
      <c r="A27" s="5" t="s">
        <v>256</v>
      </c>
      <c r="B27" s="16" t="s">
        <v>60</v>
      </c>
      <c r="C27" s="16" t="str">
        <f>IFERROR(INDEX(employees!$B$2:$B$37,MATCH(B27,employees!$A$2:$A$37,0)),"")</f>
        <v>Riley Chen</v>
      </c>
      <c r="D27" s="16" t="str">
        <f>IFERROR(INDEX(employees!$C$2:$C$37,MATCH(B27,employees!$A$2:$A$37,0)),"")</f>
        <v>Protection &amp; Control</v>
      </c>
      <c r="E27" s="16" t="str">
        <f>IFERROR(INDEX(employees!$D$2:$D$37,MATCH(B27,employees!$A$2:$A$37,0)),"")</f>
        <v>Engineering Management</v>
      </c>
      <c r="F27" s="16" t="str">
        <f>IFERROR(INDEX(employees!$E$2:$E$37,MATCH(B27,employees!$A$2:$A$37,0)),"")</f>
        <v>Engineer</v>
      </c>
      <c r="G27" s="16" t="s">
        <v>154</v>
      </c>
      <c r="H27" s="16" t="str">
        <f>IFERROR(INDEX(competency_model!$C$2:$C$25,MATCH(G27,competency_model!$A$2:$A$25,0)),"")</f>
        <v>Excel Reporting</v>
      </c>
      <c r="I27" s="16" t="str">
        <f>IFERROR(INDEX(competency_model!$D$2:$D$25,MATCH(G27,competency_model!$A$2:$A$25,0)),"")</f>
        <v>PivotTables and Power Query</v>
      </c>
      <c r="J27" s="16">
        <f>IFERROR(INDEX(competency_model!$F$2:$F$25,MATCH(G27,competency_model!$A$2:$A$25,0)),"")</f>
        <v>4</v>
      </c>
      <c r="K27" s="16" t="str">
        <f>IFERROR(INDEX(competency_model!$G$2:$G$25,MATCH(G27,competency_model!$A$2:$A$25,0)),"")</f>
        <v>High</v>
      </c>
      <c r="L27" s="21">
        <v>4</v>
      </c>
      <c r="M27" s="21">
        <f t="shared" si="0"/>
        <v>0</v>
      </c>
      <c r="N27" s="16" t="str">
        <f t="shared" si="1"/>
        <v>No Gap</v>
      </c>
      <c r="O27" s="21">
        <f t="shared" si="2"/>
        <v>3</v>
      </c>
      <c r="P27" s="21">
        <f t="shared" si="3"/>
        <v>0</v>
      </c>
      <c r="Q27" s="16" t="str">
        <f t="shared" si="4"/>
        <v>Ready</v>
      </c>
      <c r="R27" s="16" t="s">
        <v>228</v>
      </c>
      <c r="S27" s="23">
        <v>46088.629594664351</v>
      </c>
      <c r="T27" s="25">
        <f t="shared" ca="1" si="5"/>
        <v>113.37040533564868</v>
      </c>
      <c r="U27" s="16" t="s">
        <v>242</v>
      </c>
      <c r="V27" s="16" t="s">
        <v>226</v>
      </c>
      <c r="W27" s="6" t="str">
        <f ca="1">IF(R27="Missing","Missing evidence",IF(T27&gt;365,"Stale assessment",IF(COUNTIFS($B$2:$B$264,B27,$G$2:$G$264,G27)&gt;1,"Duplicate competency record",IF(INDEX(employees!$H$2:$H$37,MATCH(B27,employees!$A$2:$A$37,0))="Inactive","Inactive account","OK"))))</f>
        <v>OK</v>
      </c>
    </row>
    <row r="28" spans="1:23" ht="15" customHeight="1">
      <c r="A28" s="5" t="s">
        <v>257</v>
      </c>
      <c r="B28" s="16" t="s">
        <v>60</v>
      </c>
      <c r="C28" s="16" t="str">
        <f>IFERROR(INDEX(employees!$B$2:$B$37,MATCH(B28,employees!$A$2:$A$37,0)),"")</f>
        <v>Riley Chen</v>
      </c>
      <c r="D28" s="16" t="str">
        <f>IFERROR(INDEX(employees!$C$2:$C$37,MATCH(B28,employees!$A$2:$A$37,0)),"")</f>
        <v>Protection &amp; Control</v>
      </c>
      <c r="E28" s="16" t="str">
        <f>IFERROR(INDEX(employees!$D$2:$D$37,MATCH(B28,employees!$A$2:$A$37,0)),"")</f>
        <v>Engineering Management</v>
      </c>
      <c r="F28" s="16" t="str">
        <f>IFERROR(INDEX(employees!$E$2:$E$37,MATCH(B28,employees!$A$2:$A$37,0)),"")</f>
        <v>Engineer</v>
      </c>
      <c r="G28" s="16" t="s">
        <v>181</v>
      </c>
      <c r="H28" s="16" t="str">
        <f>IFERROR(INDEX(competency_model!$C$2:$C$25,MATCH(G28,competency_model!$A$2:$A$25,0)),"")</f>
        <v>Stakeholder Communication</v>
      </c>
      <c r="I28" s="16" t="str">
        <f>IFERROR(INDEX(competency_model!$D$2:$D$25,MATCH(G28,competency_model!$A$2:$A$25,0)),"")</f>
        <v>Cross-Functional Updates</v>
      </c>
      <c r="J28" s="16">
        <f>IFERROR(INDEX(competency_model!$F$2:$F$25,MATCH(G28,competency_model!$A$2:$A$25,0)),"")</f>
        <v>3</v>
      </c>
      <c r="K28" s="16" t="str">
        <f>IFERROR(INDEX(competency_model!$G$2:$G$25,MATCH(G28,competency_model!$A$2:$A$25,0)),"")</f>
        <v>Medium</v>
      </c>
      <c r="L28" s="21">
        <v>1</v>
      </c>
      <c r="M28" s="21">
        <f t="shared" si="0"/>
        <v>2</v>
      </c>
      <c r="N28" s="16" t="str">
        <f t="shared" si="1"/>
        <v>Moderate</v>
      </c>
      <c r="O28" s="21">
        <f t="shared" si="2"/>
        <v>2</v>
      </c>
      <c r="P28" s="21">
        <f t="shared" si="3"/>
        <v>4</v>
      </c>
      <c r="Q28" s="16" t="str">
        <f t="shared" si="4"/>
        <v>Development Needed</v>
      </c>
      <c r="R28" s="16" t="s">
        <v>228</v>
      </c>
      <c r="S28" s="23">
        <v>46079.02740997685</v>
      </c>
      <c r="T28" s="25">
        <f t="shared" ca="1" si="5"/>
        <v>122.97259002314968</v>
      </c>
      <c r="U28" s="16" t="s">
        <v>223</v>
      </c>
      <c r="V28" s="16" t="s">
        <v>233</v>
      </c>
      <c r="W28" s="6" t="str">
        <f ca="1">IF(R28="Missing","Missing evidence",IF(T28&gt;365,"Stale assessment",IF(COUNTIFS($B$2:$B$264,B28,$G$2:$G$264,G28)&gt;1,"Duplicate competency record",IF(INDEX(employees!$H$2:$H$37,MATCH(B28,employees!$A$2:$A$37,0))="Inactive","Inactive account","OK"))))</f>
        <v>OK</v>
      </c>
    </row>
    <row r="29" spans="1:23" ht="15" customHeight="1">
      <c r="A29" s="5" t="s">
        <v>258</v>
      </c>
      <c r="B29" s="16" t="s">
        <v>60</v>
      </c>
      <c r="C29" s="16" t="str">
        <f>IFERROR(INDEX(employees!$B$2:$B$37,MATCH(B29,employees!$A$2:$A$37,0)),"")</f>
        <v>Riley Chen</v>
      </c>
      <c r="D29" s="16" t="str">
        <f>IFERROR(INDEX(employees!$C$2:$C$37,MATCH(B29,employees!$A$2:$A$37,0)),"")</f>
        <v>Protection &amp; Control</v>
      </c>
      <c r="E29" s="16" t="str">
        <f>IFERROR(INDEX(employees!$D$2:$D$37,MATCH(B29,employees!$A$2:$A$37,0)),"")</f>
        <v>Engineering Management</v>
      </c>
      <c r="F29" s="16" t="str">
        <f>IFERROR(INDEX(employees!$E$2:$E$37,MATCH(B29,employees!$A$2:$A$37,0)),"")</f>
        <v>Engineer</v>
      </c>
      <c r="G29" s="16" t="s">
        <v>163</v>
      </c>
      <c r="H29" s="16" t="str">
        <f>IFERROR(INDEX(competency_model!$C$2:$C$25,MATCH(G29,competency_model!$A$2:$A$25,0)),"")</f>
        <v>Engineering Documentation</v>
      </c>
      <c r="I29" s="16" t="str">
        <f>IFERROR(INDEX(competency_model!$D$2:$D$25,MATCH(G29,competency_model!$A$2:$A$25,0)),"")</f>
        <v>Technical Documentation</v>
      </c>
      <c r="J29" s="16">
        <f>IFERROR(INDEX(competency_model!$F$2:$F$25,MATCH(G29,competency_model!$A$2:$A$25,0)),"")</f>
        <v>4</v>
      </c>
      <c r="K29" s="16" t="str">
        <f>IFERROR(INDEX(competency_model!$G$2:$G$25,MATCH(G29,competency_model!$A$2:$A$25,0)),"")</f>
        <v>High</v>
      </c>
      <c r="L29" s="21">
        <v>1</v>
      </c>
      <c r="M29" s="21">
        <f t="shared" si="0"/>
        <v>3</v>
      </c>
      <c r="N29" s="16" t="str">
        <f t="shared" si="1"/>
        <v>Critical</v>
      </c>
      <c r="O29" s="21">
        <f t="shared" si="2"/>
        <v>3</v>
      </c>
      <c r="P29" s="21">
        <f t="shared" si="3"/>
        <v>9</v>
      </c>
      <c r="Q29" s="16" t="str">
        <f t="shared" si="4"/>
        <v>Development Needed</v>
      </c>
      <c r="R29" s="16" t="s">
        <v>228</v>
      </c>
      <c r="S29" s="23">
        <v>46066.991128946756</v>
      </c>
      <c r="T29" s="25">
        <f t="shared" ca="1" si="5"/>
        <v>135.00887105324364</v>
      </c>
      <c r="U29" s="16" t="s">
        <v>223</v>
      </c>
      <c r="V29" s="16" t="s">
        <v>226</v>
      </c>
      <c r="W29" s="6" t="str">
        <f ca="1">IF(R29="Missing","Missing evidence",IF(T29&gt;365,"Stale assessment",IF(COUNTIFS($B$2:$B$264,B29,$G$2:$G$264,G29)&gt;1,"Duplicate competency record",IF(INDEX(employees!$H$2:$H$37,MATCH(B29,employees!$A$2:$A$37,0))="Inactive","Inactive account","OK"))))</f>
        <v>OK</v>
      </c>
    </row>
    <row r="30" spans="1:23" ht="15" customHeight="1">
      <c r="A30" s="5" t="s">
        <v>259</v>
      </c>
      <c r="B30" s="16" t="s">
        <v>60</v>
      </c>
      <c r="C30" s="16" t="str">
        <f>IFERROR(INDEX(employees!$B$2:$B$37,MATCH(B30,employees!$A$2:$A$37,0)),"")</f>
        <v>Riley Chen</v>
      </c>
      <c r="D30" s="16" t="str">
        <f>IFERROR(INDEX(employees!$C$2:$C$37,MATCH(B30,employees!$A$2:$A$37,0)),"")</f>
        <v>Protection &amp; Control</v>
      </c>
      <c r="E30" s="16" t="str">
        <f>IFERROR(INDEX(employees!$D$2:$D$37,MATCH(B30,employees!$A$2:$A$37,0)),"")</f>
        <v>Engineering Management</v>
      </c>
      <c r="F30" s="16" t="str">
        <f>IFERROR(INDEX(employees!$E$2:$E$37,MATCH(B30,employees!$A$2:$A$37,0)),"")</f>
        <v>Engineer</v>
      </c>
      <c r="G30" s="16" t="s">
        <v>160</v>
      </c>
      <c r="H30" s="16" t="str">
        <f>IFERROR(INDEX(competency_model!$C$2:$C$25,MATCH(G30,competency_model!$A$2:$A$25,0)),"")</f>
        <v>PowerPoint Presentation</v>
      </c>
      <c r="I30" s="16" t="str">
        <f>IFERROR(INDEX(competency_model!$D$2:$D$25,MATCH(G30,competency_model!$A$2:$A$25,0)),"")</f>
        <v>Leadership Storytelling</v>
      </c>
      <c r="J30" s="16">
        <f>IFERROR(INDEX(competency_model!$F$2:$F$25,MATCH(G30,competency_model!$A$2:$A$25,0)),"")</f>
        <v>3</v>
      </c>
      <c r="K30" s="16" t="str">
        <f>IFERROR(INDEX(competency_model!$G$2:$G$25,MATCH(G30,competency_model!$A$2:$A$25,0)),"")</f>
        <v>Medium</v>
      </c>
      <c r="L30" s="21">
        <v>2</v>
      </c>
      <c r="M30" s="21">
        <f t="shared" si="0"/>
        <v>1</v>
      </c>
      <c r="N30" s="16" t="str">
        <f t="shared" si="1"/>
        <v>Minor</v>
      </c>
      <c r="O30" s="21">
        <f t="shared" si="2"/>
        <v>2</v>
      </c>
      <c r="P30" s="21">
        <f t="shared" si="3"/>
        <v>2</v>
      </c>
      <c r="Q30" s="16" t="str">
        <f t="shared" si="4"/>
        <v>Development Needed</v>
      </c>
      <c r="R30" s="16" t="s">
        <v>225</v>
      </c>
      <c r="S30" s="23">
        <v>46101.761781388886</v>
      </c>
      <c r="T30" s="25">
        <f t="shared" ca="1" si="5"/>
        <v>100.23821861111355</v>
      </c>
      <c r="U30" s="16" t="s">
        <v>229</v>
      </c>
      <c r="V30" s="16" t="s">
        <v>239</v>
      </c>
      <c r="W30" s="6" t="str">
        <f ca="1">IF(R30="Missing","Missing evidence",IF(T30&gt;365,"Stale assessment",IF(COUNTIFS($B$2:$B$264,B30,$G$2:$G$264,G30)&gt;1,"Duplicate competency record",IF(INDEX(employees!$H$2:$H$37,MATCH(B30,employees!$A$2:$A$37,0))="Inactive","Inactive account","OK"))))</f>
        <v>Duplicate competency record</v>
      </c>
    </row>
    <row r="31" spans="1:23" ht="15" customHeight="1">
      <c r="A31" s="5" t="s">
        <v>260</v>
      </c>
      <c r="B31" s="16" t="s">
        <v>60</v>
      </c>
      <c r="C31" s="16" t="str">
        <f>IFERROR(INDEX(employees!$B$2:$B$37,MATCH(B31,employees!$A$2:$A$37,0)),"")</f>
        <v>Riley Chen</v>
      </c>
      <c r="D31" s="16" t="str">
        <f>IFERROR(INDEX(employees!$C$2:$C$37,MATCH(B31,employees!$A$2:$A$37,0)),"")</f>
        <v>Protection &amp; Control</v>
      </c>
      <c r="E31" s="16" t="str">
        <f>IFERROR(INDEX(employees!$D$2:$D$37,MATCH(B31,employees!$A$2:$A$37,0)),"")</f>
        <v>Engineering Management</v>
      </c>
      <c r="F31" s="16" t="str">
        <f>IFERROR(INDEX(employees!$E$2:$E$37,MATCH(B31,employees!$A$2:$A$37,0)),"")</f>
        <v>Engineer</v>
      </c>
      <c r="G31" s="16" t="s">
        <v>204</v>
      </c>
      <c r="H31" s="16" t="str">
        <f>IFERROR(INDEX(competency_model!$C$2:$C$25,MATCH(G31,competency_model!$A$2:$A$25,0)),"")</f>
        <v>PowerPoint Presentation</v>
      </c>
      <c r="I31" s="16" t="str">
        <f>IFERROR(INDEX(competency_model!$D$2:$D$25,MATCH(G31,competency_model!$A$2:$A$25,0)),"")</f>
        <v>Executive Summary Slides</v>
      </c>
      <c r="J31" s="16">
        <f>IFERROR(INDEX(competency_model!$F$2:$F$25,MATCH(G31,competency_model!$A$2:$A$25,0)),"")</f>
        <v>3</v>
      </c>
      <c r="K31" s="16" t="str">
        <f>IFERROR(INDEX(competency_model!$G$2:$G$25,MATCH(G31,competency_model!$A$2:$A$25,0)),"")</f>
        <v>Medium</v>
      </c>
      <c r="L31" s="21">
        <v>2</v>
      </c>
      <c r="M31" s="21">
        <f t="shared" si="0"/>
        <v>1</v>
      </c>
      <c r="N31" s="16" t="str">
        <f t="shared" si="1"/>
        <v>Minor</v>
      </c>
      <c r="O31" s="21">
        <f t="shared" si="2"/>
        <v>2</v>
      </c>
      <c r="P31" s="21">
        <f t="shared" si="3"/>
        <v>2</v>
      </c>
      <c r="Q31" s="16" t="str">
        <f t="shared" si="4"/>
        <v>Development Needed</v>
      </c>
      <c r="R31" s="16" t="s">
        <v>222</v>
      </c>
      <c r="S31" s="23">
        <v>45968.813299629626</v>
      </c>
      <c r="T31" s="25">
        <f t="shared" ca="1" si="5"/>
        <v>233.18670037037373</v>
      </c>
      <c r="U31" s="16" t="s">
        <v>242</v>
      </c>
      <c r="V31" s="16"/>
      <c r="W31" s="6" t="str">
        <f>IF(R31="Missing","Missing evidence",IF(T31&gt;365,"Stale assessment",IF(COUNTIFS($B$2:$B$264,B31,$G$2:$G$264,G31)&gt;1,"Duplicate competency record",IF(INDEX(employees!$H$2:$H$37,MATCH(B31,employees!$A$2:$A$37,0))="Inactive","Inactive account","OK"))))</f>
        <v>Missing evidence</v>
      </c>
    </row>
    <row r="32" spans="1:23" ht="15" customHeight="1">
      <c r="A32" s="5" t="s">
        <v>261</v>
      </c>
      <c r="B32" s="16" t="s">
        <v>60</v>
      </c>
      <c r="C32" s="16" t="str">
        <f>IFERROR(INDEX(employees!$B$2:$B$37,MATCH(B32,employees!$A$2:$A$37,0)),"")</f>
        <v>Riley Chen</v>
      </c>
      <c r="D32" s="16" t="str">
        <f>IFERROR(INDEX(employees!$C$2:$C$37,MATCH(B32,employees!$A$2:$A$37,0)),"")</f>
        <v>Protection &amp; Control</v>
      </c>
      <c r="E32" s="16" t="str">
        <f>IFERROR(INDEX(employees!$D$2:$D$37,MATCH(B32,employees!$A$2:$A$37,0)),"")</f>
        <v>Engineering Management</v>
      </c>
      <c r="F32" s="16" t="str">
        <f>IFERROR(INDEX(employees!$E$2:$E$37,MATCH(B32,employees!$A$2:$A$37,0)),"")</f>
        <v>Engineer</v>
      </c>
      <c r="G32" s="16" t="s">
        <v>194</v>
      </c>
      <c r="H32" s="16" t="str">
        <f>IFERROR(INDEX(competency_model!$C$2:$C$25,MATCH(G32,competency_model!$A$2:$A$25,0)),"")</f>
        <v>Competency Systems</v>
      </c>
      <c r="I32" s="16" t="str">
        <f>IFERROR(INDEX(competency_model!$D$2:$D$25,MATCH(G32,competency_model!$A$2:$A$25,0)),"")</f>
        <v>Competency Model Maintenance</v>
      </c>
      <c r="J32" s="16">
        <f>IFERROR(INDEX(competency_model!$F$2:$F$25,MATCH(G32,competency_model!$A$2:$A$25,0)),"")</f>
        <v>3</v>
      </c>
      <c r="K32" s="16" t="str">
        <f>IFERROR(INDEX(competency_model!$G$2:$G$25,MATCH(G32,competency_model!$A$2:$A$25,0)),"")</f>
        <v>High</v>
      </c>
      <c r="L32" s="21">
        <v>3</v>
      </c>
      <c r="M32" s="21">
        <f t="shared" si="0"/>
        <v>0</v>
      </c>
      <c r="N32" s="16" t="str">
        <f t="shared" si="1"/>
        <v>No Gap</v>
      </c>
      <c r="O32" s="21">
        <f t="shared" si="2"/>
        <v>3</v>
      </c>
      <c r="P32" s="21">
        <f t="shared" si="3"/>
        <v>0</v>
      </c>
      <c r="Q32" s="16" t="str">
        <f t="shared" si="4"/>
        <v>Ready</v>
      </c>
      <c r="R32" s="16" t="s">
        <v>222</v>
      </c>
      <c r="S32" s="23">
        <v>45982.960698055555</v>
      </c>
      <c r="T32" s="25">
        <f t="shared" ca="1" si="5"/>
        <v>219.03930194444547</v>
      </c>
      <c r="U32" s="16" t="s">
        <v>223</v>
      </c>
      <c r="V32" s="16" t="s">
        <v>231</v>
      </c>
      <c r="W32" s="6" t="str">
        <f>IF(R32="Missing","Missing evidence",IF(T32&gt;365,"Stale assessment",IF(COUNTIFS($B$2:$B$264,B32,$G$2:$G$264,G32)&gt;1,"Duplicate competency record",IF(INDEX(employees!$H$2:$H$37,MATCH(B32,employees!$A$2:$A$37,0))="Inactive","Inactive account","OK"))))</f>
        <v>Missing evidence</v>
      </c>
    </row>
    <row r="33" spans="1:23" ht="15" customHeight="1">
      <c r="A33" s="5" t="s">
        <v>262</v>
      </c>
      <c r="B33" s="16" t="s">
        <v>64</v>
      </c>
      <c r="C33" s="16" t="str">
        <f>IFERROR(INDEX(employees!$B$2:$B$37,MATCH(B33,employees!$A$2:$A$37,0)),"")</f>
        <v>Jamie Williams</v>
      </c>
      <c r="D33" s="16" t="str">
        <f>IFERROR(INDEX(employees!$C$2:$C$37,MATCH(B33,employees!$A$2:$A$37,0)),"")</f>
        <v>Systems Engineering</v>
      </c>
      <c r="E33" s="16" t="str">
        <f>IFERROR(INDEX(employees!$D$2:$D$37,MATCH(B33,employees!$A$2:$A$37,0)),"")</f>
        <v>Testing &amp; Validation</v>
      </c>
      <c r="F33" s="16" t="str">
        <f>IFERROR(INDEX(employees!$E$2:$E$37,MATCH(B33,employees!$A$2:$A$37,0)),"")</f>
        <v>Senior Engineer</v>
      </c>
      <c r="G33" s="16" t="s">
        <v>192</v>
      </c>
      <c r="H33" s="16" t="str">
        <f>IFERROR(INDEX(competency_model!$C$2:$C$25,MATCH(G33,competency_model!$A$2:$A$25,0)),"")</f>
        <v>Data Quality</v>
      </c>
      <c r="I33" s="16" t="str">
        <f>IFERROR(INDEX(competency_model!$D$2:$D$25,MATCH(G33,competency_model!$A$2:$A$25,0)),"")</f>
        <v>Assessment Evidence Validation</v>
      </c>
      <c r="J33" s="16">
        <f>IFERROR(INDEX(competency_model!$F$2:$F$25,MATCH(G33,competency_model!$A$2:$A$25,0)),"")</f>
        <v>4</v>
      </c>
      <c r="K33" s="16" t="str">
        <f>IFERROR(INDEX(competency_model!$G$2:$G$25,MATCH(G33,competency_model!$A$2:$A$25,0)),"")</f>
        <v>High</v>
      </c>
      <c r="L33" s="21">
        <v>4</v>
      </c>
      <c r="M33" s="21">
        <f t="shared" si="0"/>
        <v>0</v>
      </c>
      <c r="N33" s="16" t="str">
        <f t="shared" si="1"/>
        <v>No Gap</v>
      </c>
      <c r="O33" s="21">
        <f t="shared" si="2"/>
        <v>3</v>
      </c>
      <c r="P33" s="21">
        <f t="shared" si="3"/>
        <v>0</v>
      </c>
      <c r="Q33" s="16" t="str">
        <f t="shared" si="4"/>
        <v>Ready</v>
      </c>
      <c r="R33" s="16" t="s">
        <v>225</v>
      </c>
      <c r="S33" s="23">
        <v>46035.804790104165</v>
      </c>
      <c r="T33" s="25">
        <f t="shared" ca="1" si="5"/>
        <v>166.19520989583543</v>
      </c>
      <c r="U33" s="16" t="s">
        <v>223</v>
      </c>
      <c r="V33" s="16"/>
      <c r="W33" s="6" t="str">
        <f ca="1">IF(R33="Missing","Missing evidence",IF(T33&gt;365,"Stale assessment",IF(COUNTIFS($B$2:$B$264,B33,$G$2:$G$264,G33)&gt;1,"Duplicate competency record",IF(INDEX(employees!$H$2:$H$37,MATCH(B33,employees!$A$2:$A$37,0))="Inactive","Inactive account","OK"))))</f>
        <v>OK</v>
      </c>
    </row>
    <row r="34" spans="1:23" ht="15" customHeight="1">
      <c r="A34" s="5" t="s">
        <v>263</v>
      </c>
      <c r="B34" s="16" t="s">
        <v>64</v>
      </c>
      <c r="C34" s="16" t="str">
        <f>IFERROR(INDEX(employees!$B$2:$B$37,MATCH(B34,employees!$A$2:$A$37,0)),"")</f>
        <v>Jamie Williams</v>
      </c>
      <c r="D34" s="16" t="str">
        <f>IFERROR(INDEX(employees!$C$2:$C$37,MATCH(B34,employees!$A$2:$A$37,0)),"")</f>
        <v>Systems Engineering</v>
      </c>
      <c r="E34" s="16" t="str">
        <f>IFERROR(INDEX(employees!$D$2:$D$37,MATCH(B34,employees!$A$2:$A$37,0)),"")</f>
        <v>Testing &amp; Validation</v>
      </c>
      <c r="F34" s="16" t="str">
        <f>IFERROR(INDEX(employees!$E$2:$E$37,MATCH(B34,employees!$A$2:$A$37,0)),"")</f>
        <v>Senior Engineer</v>
      </c>
      <c r="G34" s="16" t="s">
        <v>175</v>
      </c>
      <c r="H34" s="16" t="str">
        <f>IFERROR(INDEX(competency_model!$C$2:$C$25,MATCH(G34,competency_model!$A$2:$A$25,0)),"")</f>
        <v>Safety / Compliance</v>
      </c>
      <c r="I34" s="16" t="str">
        <f>IFERROR(INDEX(competency_model!$D$2:$D$25,MATCH(G34,competency_model!$A$2:$A$25,0)),"")</f>
        <v>Engineering Safety Awareness</v>
      </c>
      <c r="J34" s="16">
        <f>IFERROR(INDEX(competency_model!$F$2:$F$25,MATCH(G34,competency_model!$A$2:$A$25,0)),"")</f>
        <v>4</v>
      </c>
      <c r="K34" s="16" t="str">
        <f>IFERROR(INDEX(competency_model!$G$2:$G$25,MATCH(G34,competency_model!$A$2:$A$25,0)),"")</f>
        <v>High</v>
      </c>
      <c r="L34" s="21">
        <v>2</v>
      </c>
      <c r="M34" s="21">
        <f t="shared" si="0"/>
        <v>2</v>
      </c>
      <c r="N34" s="16" t="str">
        <f t="shared" si="1"/>
        <v>Moderate</v>
      </c>
      <c r="O34" s="21">
        <f t="shared" si="2"/>
        <v>3</v>
      </c>
      <c r="P34" s="21">
        <f t="shared" si="3"/>
        <v>6</v>
      </c>
      <c r="Q34" s="16" t="str">
        <f t="shared" si="4"/>
        <v>Development Needed</v>
      </c>
      <c r="R34" s="16" t="s">
        <v>228</v>
      </c>
      <c r="S34" s="23">
        <v>46097.814919108794</v>
      </c>
      <c r="T34" s="25">
        <f t="shared" ca="1" si="5"/>
        <v>104.18508089120587</v>
      </c>
      <c r="U34" s="16" t="s">
        <v>242</v>
      </c>
      <c r="V34" s="16" t="s">
        <v>239</v>
      </c>
      <c r="W34" s="6" t="str">
        <f ca="1">IF(R34="Missing","Missing evidence",IF(T34&gt;365,"Stale assessment",IF(COUNTIFS($B$2:$B$264,B34,$G$2:$G$264,G34)&gt;1,"Duplicate competency record",IF(INDEX(employees!$H$2:$H$37,MATCH(B34,employees!$A$2:$A$37,0))="Inactive","Inactive account","OK"))))</f>
        <v>OK</v>
      </c>
    </row>
    <row r="35" spans="1:23" ht="15" customHeight="1">
      <c r="A35" s="5" t="s">
        <v>264</v>
      </c>
      <c r="B35" s="16" t="s">
        <v>64</v>
      </c>
      <c r="C35" s="16" t="str">
        <f>IFERROR(INDEX(employees!$B$2:$B$37,MATCH(B35,employees!$A$2:$A$37,0)),"")</f>
        <v>Jamie Williams</v>
      </c>
      <c r="D35" s="16" t="str">
        <f>IFERROR(INDEX(employees!$C$2:$C$37,MATCH(B35,employees!$A$2:$A$37,0)),"")</f>
        <v>Systems Engineering</v>
      </c>
      <c r="E35" s="16" t="str">
        <f>IFERROR(INDEX(employees!$D$2:$D$37,MATCH(B35,employees!$A$2:$A$37,0)),"")</f>
        <v>Testing &amp; Validation</v>
      </c>
      <c r="F35" s="16" t="str">
        <f>IFERROR(INDEX(employees!$E$2:$E$37,MATCH(B35,employees!$A$2:$A$37,0)),"")</f>
        <v>Senior Engineer</v>
      </c>
      <c r="G35" s="16" t="s">
        <v>154</v>
      </c>
      <c r="H35" s="16" t="str">
        <f>IFERROR(INDEX(competency_model!$C$2:$C$25,MATCH(G35,competency_model!$A$2:$A$25,0)),"")</f>
        <v>Excel Reporting</v>
      </c>
      <c r="I35" s="16" t="str">
        <f>IFERROR(INDEX(competency_model!$D$2:$D$25,MATCH(G35,competency_model!$A$2:$A$25,0)),"")</f>
        <v>PivotTables and Power Query</v>
      </c>
      <c r="J35" s="16">
        <f>IFERROR(INDEX(competency_model!$F$2:$F$25,MATCH(G35,competency_model!$A$2:$A$25,0)),"")</f>
        <v>4</v>
      </c>
      <c r="K35" s="16" t="str">
        <f>IFERROR(INDEX(competency_model!$G$2:$G$25,MATCH(G35,competency_model!$A$2:$A$25,0)),"")</f>
        <v>High</v>
      </c>
      <c r="L35" s="21">
        <v>1</v>
      </c>
      <c r="M35" s="21">
        <f t="shared" si="0"/>
        <v>3</v>
      </c>
      <c r="N35" s="16" t="str">
        <f t="shared" si="1"/>
        <v>Critical</v>
      </c>
      <c r="O35" s="21">
        <f t="shared" si="2"/>
        <v>3</v>
      </c>
      <c r="P35" s="21">
        <f t="shared" si="3"/>
        <v>9</v>
      </c>
      <c r="Q35" s="16" t="str">
        <f t="shared" si="4"/>
        <v>Development Needed</v>
      </c>
      <c r="R35" s="16" t="s">
        <v>228</v>
      </c>
      <c r="S35" s="23">
        <v>46114.538931261573</v>
      </c>
      <c r="T35" s="25">
        <f t="shared" ca="1" si="5"/>
        <v>87.461068738426547</v>
      </c>
      <c r="U35" s="16" t="s">
        <v>242</v>
      </c>
      <c r="V35" s="16" t="s">
        <v>231</v>
      </c>
      <c r="W35" s="6" t="str">
        <f ca="1">IF(R35="Missing","Missing evidence",IF(T35&gt;365,"Stale assessment",IF(COUNTIFS($B$2:$B$264,B35,$G$2:$G$264,G35)&gt;1,"Duplicate competency record",IF(INDEX(employees!$H$2:$H$37,MATCH(B35,employees!$A$2:$A$37,0))="Inactive","Inactive account","OK"))))</f>
        <v>OK</v>
      </c>
    </row>
    <row r="36" spans="1:23" ht="15" customHeight="1">
      <c r="A36" s="5" t="s">
        <v>265</v>
      </c>
      <c r="B36" s="16" t="s">
        <v>64</v>
      </c>
      <c r="C36" s="16" t="str">
        <f>IFERROR(INDEX(employees!$B$2:$B$37,MATCH(B36,employees!$A$2:$A$37,0)),"")</f>
        <v>Jamie Williams</v>
      </c>
      <c r="D36" s="16" t="str">
        <f>IFERROR(INDEX(employees!$C$2:$C$37,MATCH(B36,employees!$A$2:$A$37,0)),"")</f>
        <v>Systems Engineering</v>
      </c>
      <c r="E36" s="16" t="str">
        <f>IFERROR(INDEX(employees!$D$2:$D$37,MATCH(B36,employees!$A$2:$A$37,0)),"")</f>
        <v>Testing &amp; Validation</v>
      </c>
      <c r="F36" s="16" t="str">
        <f>IFERROR(INDEX(employees!$E$2:$E$37,MATCH(B36,employees!$A$2:$A$37,0)),"")</f>
        <v>Senior Engineer</v>
      </c>
      <c r="G36" s="16" t="s">
        <v>189</v>
      </c>
      <c r="H36" s="16" t="str">
        <f>IFERROR(INDEX(competency_model!$C$2:$C$25,MATCH(G36,competency_model!$A$2:$A$25,0)),"")</f>
        <v>Data Quality</v>
      </c>
      <c r="I36" s="16" t="str">
        <f>IFERROR(INDEX(competency_model!$D$2:$D$25,MATCH(G36,competency_model!$A$2:$A$25,0)),"")</f>
        <v>Duplicate and Missing Value Checks</v>
      </c>
      <c r="J36" s="16">
        <f>IFERROR(INDEX(competency_model!$F$2:$F$25,MATCH(G36,competency_model!$A$2:$A$25,0)),"")</f>
        <v>4</v>
      </c>
      <c r="K36" s="16" t="str">
        <f>IFERROR(INDEX(competency_model!$G$2:$G$25,MATCH(G36,competency_model!$A$2:$A$25,0)),"")</f>
        <v>High</v>
      </c>
      <c r="L36" s="21">
        <v>4</v>
      </c>
      <c r="M36" s="21">
        <f t="shared" si="0"/>
        <v>0</v>
      </c>
      <c r="N36" s="16" t="str">
        <f t="shared" si="1"/>
        <v>No Gap</v>
      </c>
      <c r="O36" s="21">
        <f t="shared" si="2"/>
        <v>3</v>
      </c>
      <c r="P36" s="21">
        <f t="shared" si="3"/>
        <v>0</v>
      </c>
      <c r="Q36" s="16" t="str">
        <f t="shared" si="4"/>
        <v>Ready</v>
      </c>
      <c r="R36" s="16" t="s">
        <v>228</v>
      </c>
      <c r="S36" s="23">
        <v>46017.391721701388</v>
      </c>
      <c r="T36" s="25">
        <f t="shared" ca="1" si="5"/>
        <v>184.60827829861228</v>
      </c>
      <c r="U36" s="16" t="s">
        <v>223</v>
      </c>
      <c r="V36" s="16" t="s">
        <v>231</v>
      </c>
      <c r="W36" s="6" t="str">
        <f ca="1">IF(R36="Missing","Missing evidence",IF(T36&gt;365,"Stale assessment",IF(COUNTIFS($B$2:$B$264,B36,$G$2:$G$264,G36)&gt;1,"Duplicate competency record",IF(INDEX(employees!$H$2:$H$37,MATCH(B36,employees!$A$2:$A$37,0))="Inactive","Inactive account","OK"))))</f>
        <v>OK</v>
      </c>
    </row>
    <row r="37" spans="1:23" ht="15" customHeight="1">
      <c r="A37" s="5" t="s">
        <v>266</v>
      </c>
      <c r="B37" s="16" t="s">
        <v>64</v>
      </c>
      <c r="C37" s="16" t="str">
        <f>IFERROR(INDEX(employees!$B$2:$B$37,MATCH(B37,employees!$A$2:$A$37,0)),"")</f>
        <v>Jamie Williams</v>
      </c>
      <c r="D37" s="16" t="str">
        <f>IFERROR(INDEX(employees!$C$2:$C$37,MATCH(B37,employees!$A$2:$A$37,0)),"")</f>
        <v>Systems Engineering</v>
      </c>
      <c r="E37" s="16" t="str">
        <f>IFERROR(INDEX(employees!$D$2:$D$37,MATCH(B37,employees!$A$2:$A$37,0)),"")</f>
        <v>Testing &amp; Validation</v>
      </c>
      <c r="F37" s="16" t="str">
        <f>IFERROR(INDEX(employees!$E$2:$E$37,MATCH(B37,employees!$A$2:$A$37,0)),"")</f>
        <v>Senior Engineer</v>
      </c>
      <c r="G37" s="16" t="s">
        <v>197</v>
      </c>
      <c r="H37" s="16" t="str">
        <f>IFERROR(INDEX(competency_model!$C$2:$C$25,MATCH(G37,competency_model!$A$2:$A$25,0)),"")</f>
        <v>User Support</v>
      </c>
      <c r="I37" s="16" t="str">
        <f>IFERROR(INDEX(competency_model!$D$2:$D$25,MATCH(G37,competency_model!$A$2:$A$25,0)),"")</f>
        <v>Competency Tool User Support</v>
      </c>
      <c r="J37" s="16">
        <f>IFERROR(INDEX(competency_model!$F$2:$F$25,MATCH(G37,competency_model!$A$2:$A$25,0)),"")</f>
        <v>3</v>
      </c>
      <c r="K37" s="16" t="str">
        <f>IFERROR(INDEX(competency_model!$G$2:$G$25,MATCH(G37,competency_model!$A$2:$A$25,0)),"")</f>
        <v>Medium</v>
      </c>
      <c r="L37" s="21">
        <v>1</v>
      </c>
      <c r="M37" s="21">
        <f t="shared" si="0"/>
        <v>2</v>
      </c>
      <c r="N37" s="16" t="str">
        <f t="shared" si="1"/>
        <v>Moderate</v>
      </c>
      <c r="O37" s="21">
        <f t="shared" si="2"/>
        <v>2</v>
      </c>
      <c r="P37" s="21">
        <f t="shared" si="3"/>
        <v>4</v>
      </c>
      <c r="Q37" s="16" t="str">
        <f t="shared" si="4"/>
        <v>Development Needed</v>
      </c>
      <c r="R37" s="16" t="s">
        <v>222</v>
      </c>
      <c r="S37" s="23">
        <v>45980.48354765046</v>
      </c>
      <c r="T37" s="25">
        <f t="shared" ca="1" si="5"/>
        <v>221.51645234954049</v>
      </c>
      <c r="U37" s="16" t="s">
        <v>223</v>
      </c>
      <c r="V37" s="16" t="s">
        <v>239</v>
      </c>
      <c r="W37" s="6" t="str">
        <f>IF(R37="Missing","Missing evidence",IF(T37&gt;365,"Stale assessment",IF(COUNTIFS($B$2:$B$264,B37,$G$2:$G$264,G37)&gt;1,"Duplicate competency record",IF(INDEX(employees!$H$2:$H$37,MATCH(B37,employees!$A$2:$A$37,0))="Inactive","Inactive account","OK"))))</f>
        <v>Missing evidence</v>
      </c>
    </row>
    <row r="38" spans="1:23" ht="15" customHeight="1">
      <c r="A38" s="5" t="s">
        <v>267</v>
      </c>
      <c r="B38" s="16" t="s">
        <v>64</v>
      </c>
      <c r="C38" s="16" t="str">
        <f>IFERROR(INDEX(employees!$B$2:$B$37,MATCH(B38,employees!$A$2:$A$37,0)),"")</f>
        <v>Jamie Williams</v>
      </c>
      <c r="D38" s="16" t="str">
        <f>IFERROR(INDEX(employees!$C$2:$C$37,MATCH(B38,employees!$A$2:$A$37,0)),"")</f>
        <v>Systems Engineering</v>
      </c>
      <c r="E38" s="16" t="str">
        <f>IFERROR(INDEX(employees!$D$2:$D$37,MATCH(B38,employees!$A$2:$A$37,0)),"")</f>
        <v>Testing &amp; Validation</v>
      </c>
      <c r="F38" s="16" t="str">
        <f>IFERROR(INDEX(employees!$E$2:$E$37,MATCH(B38,employees!$A$2:$A$37,0)),"")</f>
        <v>Senior Engineer</v>
      </c>
      <c r="G38" s="16" t="s">
        <v>160</v>
      </c>
      <c r="H38" s="16" t="str">
        <f>IFERROR(INDEX(competency_model!$C$2:$C$25,MATCH(G38,competency_model!$A$2:$A$25,0)),"")</f>
        <v>PowerPoint Presentation</v>
      </c>
      <c r="I38" s="16" t="str">
        <f>IFERROR(INDEX(competency_model!$D$2:$D$25,MATCH(G38,competency_model!$A$2:$A$25,0)),"")</f>
        <v>Leadership Storytelling</v>
      </c>
      <c r="J38" s="16">
        <f>IFERROR(INDEX(competency_model!$F$2:$F$25,MATCH(G38,competency_model!$A$2:$A$25,0)),"")</f>
        <v>3</v>
      </c>
      <c r="K38" s="16" t="str">
        <f>IFERROR(INDEX(competency_model!$G$2:$G$25,MATCH(G38,competency_model!$A$2:$A$25,0)),"")</f>
        <v>Medium</v>
      </c>
      <c r="L38" s="21">
        <v>1</v>
      </c>
      <c r="M38" s="21">
        <f t="shared" si="0"/>
        <v>2</v>
      </c>
      <c r="N38" s="16" t="str">
        <f t="shared" si="1"/>
        <v>Moderate</v>
      </c>
      <c r="O38" s="21">
        <f t="shared" si="2"/>
        <v>2</v>
      </c>
      <c r="P38" s="21">
        <f t="shared" si="3"/>
        <v>4</v>
      </c>
      <c r="Q38" s="16" t="str">
        <f t="shared" si="4"/>
        <v>Development Needed</v>
      </c>
      <c r="R38" s="16" t="s">
        <v>222</v>
      </c>
      <c r="S38" s="23">
        <v>46118.004437766205</v>
      </c>
      <c r="T38" s="25">
        <f t="shared" ca="1" si="5"/>
        <v>83.995562233794772</v>
      </c>
      <c r="U38" s="16" t="s">
        <v>242</v>
      </c>
      <c r="V38" s="16"/>
      <c r="W38" s="6" t="str">
        <f>IF(R38="Missing","Missing evidence",IF(T38&gt;365,"Stale assessment",IF(COUNTIFS($B$2:$B$264,B38,$G$2:$G$264,G38)&gt;1,"Duplicate competency record",IF(INDEX(employees!$H$2:$H$37,MATCH(B38,employees!$A$2:$A$37,0))="Inactive","Inactive account","OK"))))</f>
        <v>Missing evidence</v>
      </c>
    </row>
    <row r="39" spans="1:23" ht="15" customHeight="1">
      <c r="A39" s="5" t="s">
        <v>268</v>
      </c>
      <c r="B39" s="16" t="s">
        <v>68</v>
      </c>
      <c r="C39" s="16" t="str">
        <f>IFERROR(INDEX(employees!$B$2:$B$37,MATCH(B39,employees!$A$2:$A$37,0)),"")</f>
        <v>Taylor Patel</v>
      </c>
      <c r="D39" s="16" t="str">
        <f>IFERROR(INDEX(employees!$C$2:$C$37,MATCH(B39,employees!$A$2:$A$37,0)),"")</f>
        <v>Protection &amp; Control</v>
      </c>
      <c r="E39" s="16" t="str">
        <f>IFERROR(INDEX(employees!$D$2:$D$37,MATCH(B39,employees!$A$2:$A$37,0)),"")</f>
        <v>Software Engineering</v>
      </c>
      <c r="F39" s="16" t="str">
        <f>IFERROR(INDEX(employees!$E$2:$E$37,MATCH(B39,employees!$A$2:$A$37,0)),"")</f>
        <v>Senior Engineer</v>
      </c>
      <c r="G39" s="16" t="s">
        <v>186</v>
      </c>
      <c r="H39" s="16" t="str">
        <f>IFERROR(INDEX(competency_model!$C$2:$C$25,MATCH(G39,competency_model!$A$2:$A$25,0)),"")</f>
        <v>Software Tools</v>
      </c>
      <c r="I39" s="16" t="str">
        <f>IFERROR(INDEX(competency_model!$D$2:$D$25,MATCH(G39,competency_model!$A$2:$A$25,0)),"")</f>
        <v>Version Control with Git</v>
      </c>
      <c r="J39" s="16">
        <f>IFERROR(INDEX(competency_model!$F$2:$F$25,MATCH(G39,competency_model!$A$2:$A$25,0)),"")</f>
        <v>3</v>
      </c>
      <c r="K39" s="16" t="str">
        <f>IFERROR(INDEX(competency_model!$G$2:$G$25,MATCH(G39,competency_model!$A$2:$A$25,0)),"")</f>
        <v>Medium</v>
      </c>
      <c r="L39" s="21">
        <v>1</v>
      </c>
      <c r="M39" s="21">
        <f t="shared" si="0"/>
        <v>2</v>
      </c>
      <c r="N39" s="16" t="str">
        <f t="shared" si="1"/>
        <v>Moderate</v>
      </c>
      <c r="O39" s="21">
        <f t="shared" si="2"/>
        <v>2</v>
      </c>
      <c r="P39" s="21">
        <f t="shared" si="3"/>
        <v>4</v>
      </c>
      <c r="Q39" s="16" t="str">
        <f t="shared" si="4"/>
        <v>Development Needed</v>
      </c>
      <c r="R39" s="16" t="s">
        <v>222</v>
      </c>
      <c r="S39" s="23">
        <v>45705.760981342595</v>
      </c>
      <c r="T39" s="25">
        <f t="shared" ca="1" si="5"/>
        <v>496.23901865740481</v>
      </c>
      <c r="U39" s="16" t="s">
        <v>223</v>
      </c>
      <c r="V39" s="16"/>
      <c r="W39" s="6" t="str">
        <f>IF(R39="Missing","Missing evidence",IF(T39&gt;365,"Stale assessment",IF(COUNTIFS($B$2:$B$264,B39,$G$2:$G$264,G39)&gt;1,"Duplicate competency record",IF(INDEX(employees!$H$2:$H$37,MATCH(B39,employees!$A$2:$A$37,0))="Inactive","Inactive account","OK"))))</f>
        <v>Missing evidence</v>
      </c>
    </row>
    <row r="40" spans="1:23" ht="15" customHeight="1">
      <c r="A40" s="5" t="s">
        <v>269</v>
      </c>
      <c r="B40" s="16" t="s">
        <v>68</v>
      </c>
      <c r="C40" s="16" t="str">
        <f>IFERROR(INDEX(employees!$B$2:$B$37,MATCH(B40,employees!$A$2:$A$37,0)),"")</f>
        <v>Taylor Patel</v>
      </c>
      <c r="D40" s="16" t="str">
        <f>IFERROR(INDEX(employees!$C$2:$C$37,MATCH(B40,employees!$A$2:$A$37,0)),"")</f>
        <v>Protection &amp; Control</v>
      </c>
      <c r="E40" s="16" t="str">
        <f>IFERROR(INDEX(employees!$D$2:$D$37,MATCH(B40,employees!$A$2:$A$37,0)),"")</f>
        <v>Software Engineering</v>
      </c>
      <c r="F40" s="16" t="str">
        <f>IFERROR(INDEX(employees!$E$2:$E$37,MATCH(B40,employees!$A$2:$A$37,0)),"")</f>
        <v>Senior Engineer</v>
      </c>
      <c r="G40" s="16" t="s">
        <v>160</v>
      </c>
      <c r="H40" s="16" t="str">
        <f>IFERROR(INDEX(competency_model!$C$2:$C$25,MATCH(G40,competency_model!$A$2:$A$25,0)),"")</f>
        <v>PowerPoint Presentation</v>
      </c>
      <c r="I40" s="16" t="str">
        <f>IFERROR(INDEX(competency_model!$D$2:$D$25,MATCH(G40,competency_model!$A$2:$A$25,0)),"")</f>
        <v>Leadership Storytelling</v>
      </c>
      <c r="J40" s="16">
        <f>IFERROR(INDEX(competency_model!$F$2:$F$25,MATCH(G40,competency_model!$A$2:$A$25,0)),"")</f>
        <v>3</v>
      </c>
      <c r="K40" s="16" t="str">
        <f>IFERROR(INDEX(competency_model!$G$2:$G$25,MATCH(G40,competency_model!$A$2:$A$25,0)),"")</f>
        <v>Medium</v>
      </c>
      <c r="L40" s="21">
        <v>1</v>
      </c>
      <c r="M40" s="21">
        <f t="shared" si="0"/>
        <v>2</v>
      </c>
      <c r="N40" s="16" t="str">
        <f t="shared" si="1"/>
        <v>Moderate</v>
      </c>
      <c r="O40" s="21">
        <f t="shared" si="2"/>
        <v>2</v>
      </c>
      <c r="P40" s="21">
        <f t="shared" si="3"/>
        <v>4</v>
      </c>
      <c r="Q40" s="16" t="str">
        <f t="shared" si="4"/>
        <v>Development Needed</v>
      </c>
      <c r="R40" s="16" t="s">
        <v>225</v>
      </c>
      <c r="S40" s="23">
        <v>46118.086889537037</v>
      </c>
      <c r="T40" s="25">
        <f t="shared" ca="1" si="5"/>
        <v>83.913110462963232</v>
      </c>
      <c r="U40" s="16" t="s">
        <v>223</v>
      </c>
      <c r="V40" s="16"/>
      <c r="W40" s="6" t="str">
        <f ca="1">IF(R40="Missing","Missing evidence",IF(T40&gt;365,"Stale assessment",IF(COUNTIFS($B$2:$B$264,B40,$G$2:$G$264,G40)&gt;1,"Duplicate competency record",IF(INDEX(employees!$H$2:$H$37,MATCH(B40,employees!$A$2:$A$37,0))="Inactive","Inactive account","OK"))))</f>
        <v>OK</v>
      </c>
    </row>
    <row r="41" spans="1:23" ht="15" customHeight="1">
      <c r="A41" s="5" t="s">
        <v>270</v>
      </c>
      <c r="B41" s="16" t="s">
        <v>68</v>
      </c>
      <c r="C41" s="16" t="str">
        <f>IFERROR(INDEX(employees!$B$2:$B$37,MATCH(B41,employees!$A$2:$A$37,0)),"")</f>
        <v>Taylor Patel</v>
      </c>
      <c r="D41" s="16" t="str">
        <f>IFERROR(INDEX(employees!$C$2:$C$37,MATCH(B41,employees!$A$2:$A$37,0)),"")</f>
        <v>Protection &amp; Control</v>
      </c>
      <c r="E41" s="16" t="str">
        <f>IFERROR(INDEX(employees!$D$2:$D$37,MATCH(B41,employees!$A$2:$A$37,0)),"")</f>
        <v>Software Engineering</v>
      </c>
      <c r="F41" s="16" t="str">
        <f>IFERROR(INDEX(employees!$E$2:$E$37,MATCH(B41,employees!$A$2:$A$37,0)),"")</f>
        <v>Senior Engineer</v>
      </c>
      <c r="G41" s="16" t="s">
        <v>173</v>
      </c>
      <c r="H41" s="16" t="str">
        <f>IFERROR(INDEX(competency_model!$C$2:$C$25,MATCH(G41,competency_model!$A$2:$A$25,0)),"")</f>
        <v>Testing &amp; Validation</v>
      </c>
      <c r="I41" s="16" t="str">
        <f>IFERROR(INDEX(competency_model!$D$2:$D$25,MATCH(G41,competency_model!$A$2:$A$25,0)),"")</f>
        <v>Defect Investigation</v>
      </c>
      <c r="J41" s="16">
        <f>IFERROR(INDEX(competency_model!$F$2:$F$25,MATCH(G41,competency_model!$A$2:$A$25,0)),"")</f>
        <v>3</v>
      </c>
      <c r="K41" s="16" t="str">
        <f>IFERROR(INDEX(competency_model!$G$2:$G$25,MATCH(G41,competency_model!$A$2:$A$25,0)),"")</f>
        <v>Medium</v>
      </c>
      <c r="L41" s="21">
        <v>1</v>
      </c>
      <c r="M41" s="21">
        <f t="shared" si="0"/>
        <v>2</v>
      </c>
      <c r="N41" s="16" t="str">
        <f t="shared" si="1"/>
        <v>Moderate</v>
      </c>
      <c r="O41" s="21">
        <f t="shared" si="2"/>
        <v>2</v>
      </c>
      <c r="P41" s="21">
        <f t="shared" si="3"/>
        <v>4</v>
      </c>
      <c r="Q41" s="16" t="str">
        <f t="shared" si="4"/>
        <v>Development Needed</v>
      </c>
      <c r="R41" s="16" t="s">
        <v>225</v>
      </c>
      <c r="S41" s="23">
        <v>46032.022548449073</v>
      </c>
      <c r="T41" s="25">
        <f t="shared" ca="1" si="5"/>
        <v>169.97745155092707</v>
      </c>
      <c r="U41" s="16" t="s">
        <v>242</v>
      </c>
      <c r="V41" s="16"/>
      <c r="W41" s="6" t="str">
        <f ca="1">IF(R41="Missing","Missing evidence",IF(T41&gt;365,"Stale assessment",IF(COUNTIFS($B$2:$B$264,B41,$G$2:$G$264,G41)&gt;1,"Duplicate competency record",IF(INDEX(employees!$H$2:$H$37,MATCH(B41,employees!$A$2:$A$37,0))="Inactive","Inactive account","OK"))))</f>
        <v>OK</v>
      </c>
    </row>
    <row r="42" spans="1:23" ht="15" customHeight="1">
      <c r="A42" s="5" t="s">
        <v>271</v>
      </c>
      <c r="B42" s="16" t="s">
        <v>68</v>
      </c>
      <c r="C42" s="16" t="str">
        <f>IFERROR(INDEX(employees!$B$2:$B$37,MATCH(B42,employees!$A$2:$A$37,0)),"")</f>
        <v>Taylor Patel</v>
      </c>
      <c r="D42" s="16" t="str">
        <f>IFERROR(INDEX(employees!$C$2:$C$37,MATCH(B42,employees!$A$2:$A$37,0)),"")</f>
        <v>Protection &amp; Control</v>
      </c>
      <c r="E42" s="16" t="str">
        <f>IFERROR(INDEX(employees!$D$2:$D$37,MATCH(B42,employees!$A$2:$A$37,0)),"")</f>
        <v>Software Engineering</v>
      </c>
      <c r="F42" s="16" t="str">
        <f>IFERROR(INDEX(employees!$E$2:$E$37,MATCH(B42,employees!$A$2:$A$37,0)),"")</f>
        <v>Senior Engineer</v>
      </c>
      <c r="G42" s="16" t="s">
        <v>151</v>
      </c>
      <c r="H42" s="16" t="str">
        <f>IFERROR(INDEX(competency_model!$C$2:$C$25,MATCH(G42,competency_model!$A$2:$A$25,0)),"")</f>
        <v>Data Analysis</v>
      </c>
      <c r="I42" s="16" t="str">
        <f>IFERROR(INDEX(competency_model!$D$2:$D$25,MATCH(G42,competency_model!$A$2:$A$25,0)),"")</f>
        <v>SQL Querying</v>
      </c>
      <c r="J42" s="16">
        <f>IFERROR(INDEX(competency_model!$F$2:$F$25,MATCH(G42,competency_model!$A$2:$A$25,0)),"")</f>
        <v>3</v>
      </c>
      <c r="K42" s="16" t="str">
        <f>IFERROR(INDEX(competency_model!$G$2:$G$25,MATCH(G42,competency_model!$A$2:$A$25,0)),"")</f>
        <v>Medium</v>
      </c>
      <c r="L42" s="21">
        <v>1</v>
      </c>
      <c r="M42" s="21">
        <f t="shared" si="0"/>
        <v>2</v>
      </c>
      <c r="N42" s="16" t="str">
        <f t="shared" si="1"/>
        <v>Moderate</v>
      </c>
      <c r="O42" s="21">
        <f t="shared" si="2"/>
        <v>2</v>
      </c>
      <c r="P42" s="21">
        <f t="shared" si="3"/>
        <v>4</v>
      </c>
      <c r="Q42" s="16" t="str">
        <f t="shared" si="4"/>
        <v>Development Needed</v>
      </c>
      <c r="R42" s="16" t="s">
        <v>225</v>
      </c>
      <c r="S42" s="23">
        <v>46134.429233692128</v>
      </c>
      <c r="T42" s="25">
        <f t="shared" ca="1" si="5"/>
        <v>67.570766307871963</v>
      </c>
      <c r="U42" s="16" t="s">
        <v>223</v>
      </c>
      <c r="V42" s="16" t="s">
        <v>239</v>
      </c>
      <c r="W42" s="6" t="str">
        <f ca="1">IF(R42="Missing","Missing evidence",IF(T42&gt;365,"Stale assessment",IF(COUNTIFS($B$2:$B$264,B42,$G$2:$G$264,G42)&gt;1,"Duplicate competency record",IF(INDEX(employees!$H$2:$H$37,MATCH(B42,employees!$A$2:$A$37,0))="Inactive","Inactive account","OK"))))</f>
        <v>OK</v>
      </c>
    </row>
    <row r="43" spans="1:23" ht="15" customHeight="1">
      <c r="A43" s="5" t="s">
        <v>272</v>
      </c>
      <c r="B43" s="16" t="s">
        <v>68</v>
      </c>
      <c r="C43" s="16" t="str">
        <f>IFERROR(INDEX(employees!$B$2:$B$37,MATCH(B43,employees!$A$2:$A$37,0)),"")</f>
        <v>Taylor Patel</v>
      </c>
      <c r="D43" s="16" t="str">
        <f>IFERROR(INDEX(employees!$C$2:$C$37,MATCH(B43,employees!$A$2:$A$37,0)),"")</f>
        <v>Protection &amp; Control</v>
      </c>
      <c r="E43" s="16" t="str">
        <f>IFERROR(INDEX(employees!$D$2:$D$37,MATCH(B43,employees!$A$2:$A$37,0)),"")</f>
        <v>Software Engineering</v>
      </c>
      <c r="F43" s="16" t="str">
        <f>IFERROR(INDEX(employees!$E$2:$E$37,MATCH(B43,employees!$A$2:$A$37,0)),"")</f>
        <v>Senior Engineer</v>
      </c>
      <c r="G43" s="16" t="s">
        <v>178</v>
      </c>
      <c r="H43" s="16" t="str">
        <f>IFERROR(INDEX(competency_model!$C$2:$C$25,MATCH(G43,competency_model!$A$2:$A$25,0)),"")</f>
        <v>Stakeholder Communication</v>
      </c>
      <c r="I43" s="16" t="str">
        <f>IFERROR(INDEX(competency_model!$D$2:$D$25,MATCH(G43,competency_model!$A$2:$A$25,0)),"")</f>
        <v>Non-Technical Explanation</v>
      </c>
      <c r="J43" s="16">
        <f>IFERROR(INDEX(competency_model!$F$2:$F$25,MATCH(G43,competency_model!$A$2:$A$25,0)),"")</f>
        <v>3</v>
      </c>
      <c r="K43" s="16" t="str">
        <f>IFERROR(INDEX(competency_model!$G$2:$G$25,MATCH(G43,competency_model!$A$2:$A$25,0)),"")</f>
        <v>Medium</v>
      </c>
      <c r="L43" s="21">
        <v>1</v>
      </c>
      <c r="M43" s="21">
        <f t="shared" si="0"/>
        <v>2</v>
      </c>
      <c r="N43" s="16" t="str">
        <f t="shared" si="1"/>
        <v>Moderate</v>
      </c>
      <c r="O43" s="21">
        <f t="shared" si="2"/>
        <v>2</v>
      </c>
      <c r="P43" s="21">
        <f t="shared" si="3"/>
        <v>4</v>
      </c>
      <c r="Q43" s="16" t="str">
        <f t="shared" si="4"/>
        <v>Development Needed</v>
      </c>
      <c r="R43" s="16" t="s">
        <v>222</v>
      </c>
      <c r="S43" s="23">
        <v>45997.209291377316</v>
      </c>
      <c r="T43" s="25">
        <f t="shared" ca="1" si="5"/>
        <v>204.79070862268418</v>
      </c>
      <c r="U43" s="16" t="s">
        <v>242</v>
      </c>
      <c r="V43" s="16"/>
      <c r="W43" s="6" t="str">
        <f>IF(R43="Missing","Missing evidence",IF(T43&gt;365,"Stale assessment",IF(COUNTIFS($B$2:$B$264,B43,$G$2:$G$264,G43)&gt;1,"Duplicate competency record",IF(INDEX(employees!$H$2:$H$37,MATCH(B43,employees!$A$2:$A$37,0))="Inactive","Inactive account","OK"))))</f>
        <v>Missing evidence</v>
      </c>
    </row>
    <row r="44" spans="1:23" ht="15" customHeight="1">
      <c r="A44" s="5" t="s">
        <v>273</v>
      </c>
      <c r="B44" s="16" t="s">
        <v>68</v>
      </c>
      <c r="C44" s="16" t="str">
        <f>IFERROR(INDEX(employees!$B$2:$B$37,MATCH(B44,employees!$A$2:$A$37,0)),"")</f>
        <v>Taylor Patel</v>
      </c>
      <c r="D44" s="16" t="str">
        <f>IFERROR(INDEX(employees!$C$2:$C$37,MATCH(B44,employees!$A$2:$A$37,0)),"")</f>
        <v>Protection &amp; Control</v>
      </c>
      <c r="E44" s="16" t="str">
        <f>IFERROR(INDEX(employees!$D$2:$D$37,MATCH(B44,employees!$A$2:$A$37,0)),"")</f>
        <v>Software Engineering</v>
      </c>
      <c r="F44" s="16" t="str">
        <f>IFERROR(INDEX(employees!$E$2:$E$37,MATCH(B44,employees!$A$2:$A$37,0)),"")</f>
        <v>Senior Engineer</v>
      </c>
      <c r="G44" s="16" t="s">
        <v>197</v>
      </c>
      <c r="H44" s="16" t="str">
        <f>IFERROR(INDEX(competency_model!$C$2:$C$25,MATCH(G44,competency_model!$A$2:$A$25,0)),"")</f>
        <v>User Support</v>
      </c>
      <c r="I44" s="16" t="str">
        <f>IFERROR(INDEX(competency_model!$D$2:$D$25,MATCH(G44,competency_model!$A$2:$A$25,0)),"")</f>
        <v>Competency Tool User Support</v>
      </c>
      <c r="J44" s="16">
        <f>IFERROR(INDEX(competency_model!$F$2:$F$25,MATCH(G44,competency_model!$A$2:$A$25,0)),"")</f>
        <v>3</v>
      </c>
      <c r="K44" s="16" t="str">
        <f>IFERROR(INDEX(competency_model!$G$2:$G$25,MATCH(G44,competency_model!$A$2:$A$25,0)),"")</f>
        <v>Medium</v>
      </c>
      <c r="L44" s="21">
        <v>2</v>
      </c>
      <c r="M44" s="21">
        <f t="shared" si="0"/>
        <v>1</v>
      </c>
      <c r="N44" s="16" t="str">
        <f t="shared" si="1"/>
        <v>Minor</v>
      </c>
      <c r="O44" s="21">
        <f t="shared" si="2"/>
        <v>2</v>
      </c>
      <c r="P44" s="21">
        <f t="shared" si="3"/>
        <v>2</v>
      </c>
      <c r="Q44" s="16" t="str">
        <f t="shared" si="4"/>
        <v>Development Needed</v>
      </c>
      <c r="R44" s="16" t="s">
        <v>228</v>
      </c>
      <c r="S44" s="23">
        <v>46075.662948043981</v>
      </c>
      <c r="T44" s="25">
        <f t="shared" ca="1" si="5"/>
        <v>126.33705195601942</v>
      </c>
      <c r="U44" s="16" t="s">
        <v>223</v>
      </c>
      <c r="V44" s="16" t="s">
        <v>231</v>
      </c>
      <c r="W44" s="6" t="str">
        <f ca="1">IF(R44="Missing","Missing evidence",IF(T44&gt;365,"Stale assessment",IF(COUNTIFS($B$2:$B$264,B44,$G$2:$G$264,G44)&gt;1,"Duplicate competency record",IF(INDEX(employees!$H$2:$H$37,MATCH(B44,employees!$A$2:$A$37,0))="Inactive","Inactive account","OK"))))</f>
        <v>OK</v>
      </c>
    </row>
    <row r="45" spans="1:23" ht="15" customHeight="1">
      <c r="A45" s="5" t="s">
        <v>274</v>
      </c>
      <c r="B45" s="16" t="s">
        <v>68</v>
      </c>
      <c r="C45" s="16" t="str">
        <f>IFERROR(INDEX(employees!$B$2:$B$37,MATCH(B45,employees!$A$2:$A$37,0)),"")</f>
        <v>Taylor Patel</v>
      </c>
      <c r="D45" s="16" t="str">
        <f>IFERROR(INDEX(employees!$C$2:$C$37,MATCH(B45,employees!$A$2:$A$37,0)),"")</f>
        <v>Protection &amp; Control</v>
      </c>
      <c r="E45" s="16" t="str">
        <f>IFERROR(INDEX(employees!$D$2:$D$37,MATCH(B45,employees!$A$2:$A$37,0)),"")</f>
        <v>Software Engineering</v>
      </c>
      <c r="F45" s="16" t="str">
        <f>IFERROR(INDEX(employees!$E$2:$E$37,MATCH(B45,employees!$A$2:$A$37,0)),"")</f>
        <v>Senior Engineer</v>
      </c>
      <c r="G45" s="16" t="s">
        <v>183</v>
      </c>
      <c r="H45" s="16" t="str">
        <f>IFERROR(INDEX(competency_model!$C$2:$C$25,MATCH(G45,competency_model!$A$2:$A$25,0)),"")</f>
        <v>Python</v>
      </c>
      <c r="I45" s="16" t="str">
        <f>IFERROR(INDEX(competency_model!$D$2:$D$25,MATCH(G45,competency_model!$A$2:$A$25,0)),"")</f>
        <v>Automation Scripting</v>
      </c>
      <c r="J45" s="16">
        <f>IFERROR(INDEX(competency_model!$F$2:$F$25,MATCH(G45,competency_model!$A$2:$A$25,0)),"")</f>
        <v>3</v>
      </c>
      <c r="K45" s="16" t="str">
        <f>IFERROR(INDEX(competency_model!$G$2:$G$25,MATCH(G45,competency_model!$A$2:$A$25,0)),"")</f>
        <v>Medium</v>
      </c>
      <c r="L45" s="21">
        <v>2</v>
      </c>
      <c r="M45" s="21">
        <f t="shared" si="0"/>
        <v>1</v>
      </c>
      <c r="N45" s="16" t="str">
        <f t="shared" si="1"/>
        <v>Minor</v>
      </c>
      <c r="O45" s="21">
        <f t="shared" si="2"/>
        <v>2</v>
      </c>
      <c r="P45" s="21">
        <f t="shared" si="3"/>
        <v>2</v>
      </c>
      <c r="Q45" s="16" t="str">
        <f t="shared" si="4"/>
        <v>Development Needed</v>
      </c>
      <c r="R45" s="16" t="s">
        <v>228</v>
      </c>
      <c r="S45" s="23">
        <v>46082.233187789352</v>
      </c>
      <c r="T45" s="25">
        <f t="shared" ca="1" si="5"/>
        <v>119.76681221064791</v>
      </c>
      <c r="U45" s="16" t="s">
        <v>223</v>
      </c>
      <c r="V45" s="16" t="s">
        <v>233</v>
      </c>
      <c r="W45" s="6" t="str">
        <f ca="1">IF(R45="Missing","Missing evidence",IF(T45&gt;365,"Stale assessment",IF(COUNTIFS($B$2:$B$264,B45,$G$2:$G$264,G45)&gt;1,"Duplicate competency record",IF(INDEX(employees!$H$2:$H$37,MATCH(B45,employees!$A$2:$A$37,0))="Inactive","Inactive account","OK"))))</f>
        <v>OK</v>
      </c>
    </row>
    <row r="46" spans="1:23" ht="15" customHeight="1">
      <c r="A46" s="5" t="s">
        <v>275</v>
      </c>
      <c r="B46" s="16" t="s">
        <v>68</v>
      </c>
      <c r="C46" s="16" t="str">
        <f>IFERROR(INDEX(employees!$B$2:$B$37,MATCH(B46,employees!$A$2:$A$37,0)),"")</f>
        <v>Taylor Patel</v>
      </c>
      <c r="D46" s="16" t="str">
        <f>IFERROR(INDEX(employees!$C$2:$C$37,MATCH(B46,employees!$A$2:$A$37,0)),"")</f>
        <v>Protection &amp; Control</v>
      </c>
      <c r="E46" s="16" t="str">
        <f>IFERROR(INDEX(employees!$D$2:$D$37,MATCH(B46,employees!$A$2:$A$37,0)),"")</f>
        <v>Software Engineering</v>
      </c>
      <c r="F46" s="16" t="str">
        <f>IFERROR(INDEX(employees!$E$2:$E$37,MATCH(B46,employees!$A$2:$A$37,0)),"")</f>
        <v>Senior Engineer</v>
      </c>
      <c r="G46" s="16" t="s">
        <v>175</v>
      </c>
      <c r="H46" s="16" t="str">
        <f>IFERROR(INDEX(competency_model!$C$2:$C$25,MATCH(G46,competency_model!$A$2:$A$25,0)),"")</f>
        <v>Safety / Compliance</v>
      </c>
      <c r="I46" s="16" t="str">
        <f>IFERROR(INDEX(competency_model!$D$2:$D$25,MATCH(G46,competency_model!$A$2:$A$25,0)),"")</f>
        <v>Engineering Safety Awareness</v>
      </c>
      <c r="J46" s="16">
        <f>IFERROR(INDEX(competency_model!$F$2:$F$25,MATCH(G46,competency_model!$A$2:$A$25,0)),"")</f>
        <v>4</v>
      </c>
      <c r="K46" s="16" t="str">
        <f>IFERROR(INDEX(competency_model!$G$2:$G$25,MATCH(G46,competency_model!$A$2:$A$25,0)),"")</f>
        <v>High</v>
      </c>
      <c r="L46" s="21">
        <v>3</v>
      </c>
      <c r="M46" s="21">
        <f t="shared" si="0"/>
        <v>1</v>
      </c>
      <c r="N46" s="16" t="str">
        <f t="shared" si="1"/>
        <v>Minor</v>
      </c>
      <c r="O46" s="21">
        <f t="shared" si="2"/>
        <v>3</v>
      </c>
      <c r="P46" s="21">
        <f t="shared" si="3"/>
        <v>3</v>
      </c>
      <c r="Q46" s="16" t="str">
        <f t="shared" si="4"/>
        <v>Development Needed</v>
      </c>
      <c r="R46" s="16" t="s">
        <v>228</v>
      </c>
      <c r="S46" s="23">
        <v>46062.572607604168</v>
      </c>
      <c r="T46" s="25">
        <f t="shared" ca="1" si="5"/>
        <v>139.4273923958317</v>
      </c>
      <c r="U46" s="16" t="s">
        <v>223</v>
      </c>
      <c r="V46" s="16" t="s">
        <v>233</v>
      </c>
      <c r="W46" s="6" t="str">
        <f ca="1">IF(R46="Missing","Missing evidence",IF(T46&gt;365,"Stale assessment",IF(COUNTIFS($B$2:$B$264,B46,$G$2:$G$264,G46)&gt;1,"Duplicate competency record",IF(INDEX(employees!$H$2:$H$37,MATCH(B46,employees!$A$2:$A$37,0))="Inactive","Inactive account","OK"))))</f>
        <v>OK</v>
      </c>
    </row>
    <row r="47" spans="1:23" ht="15" customHeight="1">
      <c r="A47" s="5" t="s">
        <v>276</v>
      </c>
      <c r="B47" s="16" t="s">
        <v>71</v>
      </c>
      <c r="C47" s="16" t="str">
        <f>IFERROR(INDEX(employees!$B$2:$B$37,MATCH(B47,employees!$A$2:$A$37,0)),"")</f>
        <v>Morgan Nguyen</v>
      </c>
      <c r="D47" s="16" t="str">
        <f>IFERROR(INDEX(employees!$C$2:$C$37,MATCH(B47,employees!$A$2:$A$37,0)),"")</f>
        <v>Asset Management</v>
      </c>
      <c r="E47" s="16" t="str">
        <f>IFERROR(INDEX(employees!$D$2:$D$37,MATCH(B47,employees!$A$2:$A$37,0)),"")</f>
        <v>Data &amp; Reporting</v>
      </c>
      <c r="F47" s="16" t="str">
        <f>IFERROR(INDEX(employees!$E$2:$E$37,MATCH(B47,employees!$A$2:$A$37,0)),"")</f>
        <v>Lead Engineer</v>
      </c>
      <c r="G47" s="16" t="s">
        <v>197</v>
      </c>
      <c r="H47" s="16" t="str">
        <f>IFERROR(INDEX(competency_model!$C$2:$C$25,MATCH(G47,competency_model!$A$2:$A$25,0)),"")</f>
        <v>User Support</v>
      </c>
      <c r="I47" s="16" t="str">
        <f>IFERROR(INDEX(competency_model!$D$2:$D$25,MATCH(G47,competency_model!$A$2:$A$25,0)),"")</f>
        <v>Competency Tool User Support</v>
      </c>
      <c r="J47" s="16">
        <f>IFERROR(INDEX(competency_model!$F$2:$F$25,MATCH(G47,competency_model!$A$2:$A$25,0)),"")</f>
        <v>3</v>
      </c>
      <c r="K47" s="16" t="str">
        <f>IFERROR(INDEX(competency_model!$G$2:$G$25,MATCH(G47,competency_model!$A$2:$A$25,0)),"")</f>
        <v>Medium</v>
      </c>
      <c r="L47" s="21">
        <v>1</v>
      </c>
      <c r="M47" s="21">
        <f t="shared" si="0"/>
        <v>2</v>
      </c>
      <c r="N47" s="16" t="str">
        <f t="shared" si="1"/>
        <v>Moderate</v>
      </c>
      <c r="O47" s="21">
        <f t="shared" si="2"/>
        <v>2</v>
      </c>
      <c r="P47" s="21">
        <f t="shared" si="3"/>
        <v>4</v>
      </c>
      <c r="Q47" s="16" t="str">
        <f t="shared" si="4"/>
        <v>Development Needed</v>
      </c>
      <c r="R47" s="16" t="s">
        <v>228</v>
      </c>
      <c r="S47" s="23">
        <v>46140.083589872687</v>
      </c>
      <c r="T47" s="25">
        <f t="shared" ca="1" si="5"/>
        <v>61.916410127312702</v>
      </c>
      <c r="U47" s="16" t="s">
        <v>229</v>
      </c>
      <c r="V47" s="16" t="s">
        <v>226</v>
      </c>
      <c r="W47" s="6" t="str">
        <f ca="1">IF(R47="Missing","Missing evidence",IF(T47&gt;365,"Stale assessment",IF(COUNTIFS($B$2:$B$264,B47,$G$2:$G$264,G47)&gt;1,"Duplicate competency record",IF(INDEX(employees!$H$2:$H$37,MATCH(B47,employees!$A$2:$A$37,0))="Inactive","Inactive account","OK"))))</f>
        <v>OK</v>
      </c>
    </row>
    <row r="48" spans="1:23" ht="15" customHeight="1">
      <c r="A48" s="5" t="s">
        <v>277</v>
      </c>
      <c r="B48" s="16" t="s">
        <v>71</v>
      </c>
      <c r="C48" s="16" t="str">
        <f>IFERROR(INDEX(employees!$B$2:$B$37,MATCH(B48,employees!$A$2:$A$37,0)),"")</f>
        <v>Morgan Nguyen</v>
      </c>
      <c r="D48" s="16" t="str">
        <f>IFERROR(INDEX(employees!$C$2:$C$37,MATCH(B48,employees!$A$2:$A$37,0)),"")</f>
        <v>Asset Management</v>
      </c>
      <c r="E48" s="16" t="str">
        <f>IFERROR(INDEX(employees!$D$2:$D$37,MATCH(B48,employees!$A$2:$A$37,0)),"")</f>
        <v>Data &amp; Reporting</v>
      </c>
      <c r="F48" s="16" t="str">
        <f>IFERROR(INDEX(employees!$E$2:$E$37,MATCH(B48,employees!$A$2:$A$37,0)),"")</f>
        <v>Lead Engineer</v>
      </c>
      <c r="G48" s="16" t="s">
        <v>202</v>
      </c>
      <c r="H48" s="16" t="str">
        <f>IFERROR(INDEX(competency_model!$C$2:$C$25,MATCH(G48,competency_model!$A$2:$A$25,0)),"")</f>
        <v>Tableau</v>
      </c>
      <c r="I48" s="16" t="str">
        <f>IFERROR(INDEX(competency_model!$D$2:$D$25,MATCH(G48,competency_model!$A$2:$A$25,0)),"")</f>
        <v>Dashboard Filtering and Actions</v>
      </c>
      <c r="J48" s="16">
        <f>IFERROR(INDEX(competency_model!$F$2:$F$25,MATCH(G48,competency_model!$A$2:$A$25,0)),"")</f>
        <v>3</v>
      </c>
      <c r="K48" s="16" t="str">
        <f>IFERROR(INDEX(competency_model!$G$2:$G$25,MATCH(G48,competency_model!$A$2:$A$25,0)),"")</f>
        <v>Medium</v>
      </c>
      <c r="L48" s="21">
        <v>2</v>
      </c>
      <c r="M48" s="21">
        <f t="shared" si="0"/>
        <v>1</v>
      </c>
      <c r="N48" s="16" t="str">
        <f t="shared" si="1"/>
        <v>Minor</v>
      </c>
      <c r="O48" s="21">
        <f t="shared" si="2"/>
        <v>2</v>
      </c>
      <c r="P48" s="21">
        <f t="shared" si="3"/>
        <v>2</v>
      </c>
      <c r="Q48" s="16" t="str">
        <f t="shared" si="4"/>
        <v>Development Needed</v>
      </c>
      <c r="R48" s="16" t="s">
        <v>225</v>
      </c>
      <c r="S48" s="23">
        <v>46020.925397025465</v>
      </c>
      <c r="T48" s="25">
        <f t="shared" ca="1" si="5"/>
        <v>181.07460297453508</v>
      </c>
      <c r="U48" s="16" t="s">
        <v>242</v>
      </c>
      <c r="V48" s="16"/>
      <c r="W48" s="6" t="str">
        <f ca="1">IF(R48="Missing","Missing evidence",IF(T48&gt;365,"Stale assessment",IF(COUNTIFS($B$2:$B$264,B48,$G$2:$G$264,G48)&gt;1,"Duplicate competency record",IF(INDEX(employees!$H$2:$H$37,MATCH(B48,employees!$A$2:$A$37,0))="Inactive","Inactive account","OK"))))</f>
        <v>OK</v>
      </c>
    </row>
    <row r="49" spans="1:23" ht="15" customHeight="1">
      <c r="A49" s="5" t="s">
        <v>278</v>
      </c>
      <c r="B49" s="16" t="s">
        <v>71</v>
      </c>
      <c r="C49" s="16" t="str">
        <f>IFERROR(INDEX(employees!$B$2:$B$37,MATCH(B49,employees!$A$2:$A$37,0)),"")</f>
        <v>Morgan Nguyen</v>
      </c>
      <c r="D49" s="16" t="str">
        <f>IFERROR(INDEX(employees!$C$2:$C$37,MATCH(B49,employees!$A$2:$A$37,0)),"")</f>
        <v>Asset Management</v>
      </c>
      <c r="E49" s="16" t="str">
        <f>IFERROR(INDEX(employees!$D$2:$D$37,MATCH(B49,employees!$A$2:$A$37,0)),"")</f>
        <v>Data &amp; Reporting</v>
      </c>
      <c r="F49" s="16" t="str">
        <f>IFERROR(INDEX(employees!$E$2:$E$37,MATCH(B49,employees!$A$2:$A$37,0)),"")</f>
        <v>Lead Engineer</v>
      </c>
      <c r="G49" s="16" t="s">
        <v>178</v>
      </c>
      <c r="H49" s="16" t="str">
        <f>IFERROR(INDEX(competency_model!$C$2:$C$25,MATCH(G49,competency_model!$A$2:$A$25,0)),"")</f>
        <v>Stakeholder Communication</v>
      </c>
      <c r="I49" s="16" t="str">
        <f>IFERROR(INDEX(competency_model!$D$2:$D$25,MATCH(G49,competency_model!$A$2:$A$25,0)),"")</f>
        <v>Non-Technical Explanation</v>
      </c>
      <c r="J49" s="16">
        <f>IFERROR(INDEX(competency_model!$F$2:$F$25,MATCH(G49,competency_model!$A$2:$A$25,0)),"")</f>
        <v>3</v>
      </c>
      <c r="K49" s="16" t="str">
        <f>IFERROR(INDEX(competency_model!$G$2:$G$25,MATCH(G49,competency_model!$A$2:$A$25,0)),"")</f>
        <v>Medium</v>
      </c>
      <c r="L49" s="21">
        <v>2</v>
      </c>
      <c r="M49" s="21">
        <f t="shared" si="0"/>
        <v>1</v>
      </c>
      <c r="N49" s="16" t="str">
        <f t="shared" si="1"/>
        <v>Minor</v>
      </c>
      <c r="O49" s="21">
        <f t="shared" si="2"/>
        <v>2</v>
      </c>
      <c r="P49" s="21">
        <f t="shared" si="3"/>
        <v>2</v>
      </c>
      <c r="Q49" s="16" t="str">
        <f t="shared" si="4"/>
        <v>Development Needed</v>
      </c>
      <c r="R49" s="16" t="s">
        <v>228</v>
      </c>
      <c r="S49" s="23">
        <v>45982.093856608793</v>
      </c>
      <c r="T49" s="25">
        <f t="shared" ca="1" si="5"/>
        <v>219.90614339120657</v>
      </c>
      <c r="U49" s="16" t="s">
        <v>229</v>
      </c>
      <c r="V49" s="16"/>
      <c r="W49" s="6" t="str">
        <f ca="1">IF(R49="Missing","Missing evidence",IF(T49&gt;365,"Stale assessment",IF(COUNTIFS($B$2:$B$264,B49,$G$2:$G$264,G49)&gt;1,"Duplicate competency record",IF(INDEX(employees!$H$2:$H$37,MATCH(B49,employees!$A$2:$A$37,0))="Inactive","Inactive account","OK"))))</f>
        <v>OK</v>
      </c>
    </row>
    <row r="50" spans="1:23" ht="15" customHeight="1">
      <c r="A50" s="5" t="s">
        <v>279</v>
      </c>
      <c r="B50" s="16" t="s">
        <v>71</v>
      </c>
      <c r="C50" s="16" t="str">
        <f>IFERROR(INDEX(employees!$B$2:$B$37,MATCH(B50,employees!$A$2:$A$37,0)),"")</f>
        <v>Morgan Nguyen</v>
      </c>
      <c r="D50" s="16" t="str">
        <f>IFERROR(INDEX(employees!$C$2:$C$37,MATCH(B50,employees!$A$2:$A$37,0)),"")</f>
        <v>Asset Management</v>
      </c>
      <c r="E50" s="16" t="str">
        <f>IFERROR(INDEX(employees!$D$2:$D$37,MATCH(B50,employees!$A$2:$A$37,0)),"")</f>
        <v>Data &amp; Reporting</v>
      </c>
      <c r="F50" s="16" t="str">
        <f>IFERROR(INDEX(employees!$E$2:$E$37,MATCH(B50,employees!$A$2:$A$37,0)),"")</f>
        <v>Lead Engineer</v>
      </c>
      <c r="G50" s="16" t="s">
        <v>175</v>
      </c>
      <c r="H50" s="16" t="str">
        <f>IFERROR(INDEX(competency_model!$C$2:$C$25,MATCH(G50,competency_model!$A$2:$A$25,0)),"")</f>
        <v>Safety / Compliance</v>
      </c>
      <c r="I50" s="16" t="str">
        <f>IFERROR(INDEX(competency_model!$D$2:$D$25,MATCH(G50,competency_model!$A$2:$A$25,0)),"")</f>
        <v>Engineering Safety Awareness</v>
      </c>
      <c r="J50" s="16">
        <f>IFERROR(INDEX(competency_model!$F$2:$F$25,MATCH(G50,competency_model!$A$2:$A$25,0)),"")</f>
        <v>4</v>
      </c>
      <c r="K50" s="16" t="str">
        <f>IFERROR(INDEX(competency_model!$G$2:$G$25,MATCH(G50,competency_model!$A$2:$A$25,0)),"")</f>
        <v>High</v>
      </c>
      <c r="L50" s="21">
        <v>4</v>
      </c>
      <c r="M50" s="21">
        <f t="shared" si="0"/>
        <v>0</v>
      </c>
      <c r="N50" s="16" t="str">
        <f t="shared" si="1"/>
        <v>No Gap</v>
      </c>
      <c r="O50" s="21">
        <f t="shared" si="2"/>
        <v>3</v>
      </c>
      <c r="P50" s="21">
        <f t="shared" si="3"/>
        <v>0</v>
      </c>
      <c r="Q50" s="16" t="str">
        <f t="shared" si="4"/>
        <v>Ready</v>
      </c>
      <c r="R50" s="16" t="s">
        <v>228</v>
      </c>
      <c r="S50" s="23">
        <v>46135.31274228009</v>
      </c>
      <c r="T50" s="25">
        <f t="shared" ca="1" si="5"/>
        <v>66.687257719910122</v>
      </c>
      <c r="U50" s="16" t="s">
        <v>242</v>
      </c>
      <c r="V50" s="16"/>
      <c r="W50" s="6" t="str">
        <f ca="1">IF(R50="Missing","Missing evidence",IF(T50&gt;365,"Stale assessment",IF(COUNTIFS($B$2:$B$264,B50,$G$2:$G$264,G50)&gt;1,"Duplicate competency record",IF(INDEX(employees!$H$2:$H$37,MATCH(B50,employees!$A$2:$A$37,0))="Inactive","Inactive account","OK"))))</f>
        <v>OK</v>
      </c>
    </row>
    <row r="51" spans="1:23" ht="15" customHeight="1">
      <c r="A51" s="5" t="s">
        <v>280</v>
      </c>
      <c r="B51" s="16" t="s">
        <v>71</v>
      </c>
      <c r="C51" s="16" t="str">
        <f>IFERROR(INDEX(employees!$B$2:$B$37,MATCH(B51,employees!$A$2:$A$37,0)),"")</f>
        <v>Morgan Nguyen</v>
      </c>
      <c r="D51" s="16" t="str">
        <f>IFERROR(INDEX(employees!$C$2:$C$37,MATCH(B51,employees!$A$2:$A$37,0)),"")</f>
        <v>Asset Management</v>
      </c>
      <c r="E51" s="16" t="str">
        <f>IFERROR(INDEX(employees!$D$2:$D$37,MATCH(B51,employees!$A$2:$A$37,0)),"")</f>
        <v>Data &amp; Reporting</v>
      </c>
      <c r="F51" s="16" t="str">
        <f>IFERROR(INDEX(employees!$E$2:$E$37,MATCH(B51,employees!$A$2:$A$37,0)),"")</f>
        <v>Lead Engineer</v>
      </c>
      <c r="G51" s="16" t="s">
        <v>144</v>
      </c>
      <c r="H51" s="16" t="str">
        <f>IFERROR(INDEX(competency_model!$C$2:$C$25,MATCH(G51,competency_model!$A$2:$A$25,0)),"")</f>
        <v>Data Analysis</v>
      </c>
      <c r="I51" s="16" t="str">
        <f>IFERROR(INDEX(competency_model!$D$2:$D$25,MATCH(G51,competency_model!$A$2:$A$25,0)),"")</f>
        <v>Excel Data Cleaning</v>
      </c>
      <c r="J51" s="16">
        <f>IFERROR(INDEX(competency_model!$F$2:$F$25,MATCH(G51,competency_model!$A$2:$A$25,0)),"")</f>
        <v>4</v>
      </c>
      <c r="K51" s="16" t="str">
        <f>IFERROR(INDEX(competency_model!$G$2:$G$25,MATCH(G51,competency_model!$A$2:$A$25,0)),"")</f>
        <v>High</v>
      </c>
      <c r="L51" s="21">
        <v>3</v>
      </c>
      <c r="M51" s="21">
        <f t="shared" si="0"/>
        <v>1</v>
      </c>
      <c r="N51" s="16" t="str">
        <f t="shared" si="1"/>
        <v>Minor</v>
      </c>
      <c r="O51" s="21">
        <f t="shared" si="2"/>
        <v>3</v>
      </c>
      <c r="P51" s="21">
        <f t="shared" si="3"/>
        <v>3</v>
      </c>
      <c r="Q51" s="16" t="str">
        <f t="shared" si="4"/>
        <v>Development Needed</v>
      </c>
      <c r="R51" s="16" t="s">
        <v>228</v>
      </c>
      <c r="S51" s="23">
        <v>46180.805867523151</v>
      </c>
      <c r="T51" s="25">
        <f t="shared" ca="1" si="5"/>
        <v>21.194132476848608</v>
      </c>
      <c r="U51" s="16" t="s">
        <v>223</v>
      </c>
      <c r="V51" s="16" t="s">
        <v>226</v>
      </c>
      <c r="W51" s="6" t="str">
        <f ca="1">IF(R51="Missing","Missing evidence",IF(T51&gt;365,"Stale assessment",IF(COUNTIFS($B$2:$B$264,B51,$G$2:$G$264,G51)&gt;1,"Duplicate competency record",IF(INDEX(employees!$H$2:$H$37,MATCH(B51,employees!$A$2:$A$37,0))="Inactive","Inactive account","OK"))))</f>
        <v>OK</v>
      </c>
    </row>
    <row r="52" spans="1:23" ht="15" customHeight="1">
      <c r="A52" s="5" t="s">
        <v>281</v>
      </c>
      <c r="B52" s="16" t="s">
        <v>71</v>
      </c>
      <c r="C52" s="16" t="str">
        <f>IFERROR(INDEX(employees!$B$2:$B$37,MATCH(B52,employees!$A$2:$A$37,0)),"")</f>
        <v>Morgan Nguyen</v>
      </c>
      <c r="D52" s="16" t="str">
        <f>IFERROR(INDEX(employees!$C$2:$C$37,MATCH(B52,employees!$A$2:$A$37,0)),"")</f>
        <v>Asset Management</v>
      </c>
      <c r="E52" s="16" t="str">
        <f>IFERROR(INDEX(employees!$D$2:$D$37,MATCH(B52,employees!$A$2:$A$37,0)),"")</f>
        <v>Data &amp; Reporting</v>
      </c>
      <c r="F52" s="16" t="str">
        <f>IFERROR(INDEX(employees!$E$2:$E$37,MATCH(B52,employees!$A$2:$A$37,0)),"")</f>
        <v>Lead Engineer</v>
      </c>
      <c r="G52" s="16" t="s">
        <v>151</v>
      </c>
      <c r="H52" s="16" t="str">
        <f>IFERROR(INDEX(competency_model!$C$2:$C$25,MATCH(G52,competency_model!$A$2:$A$25,0)),"")</f>
        <v>Data Analysis</v>
      </c>
      <c r="I52" s="16" t="str">
        <f>IFERROR(INDEX(competency_model!$D$2:$D$25,MATCH(G52,competency_model!$A$2:$A$25,0)),"")</f>
        <v>SQL Querying</v>
      </c>
      <c r="J52" s="16">
        <f>IFERROR(INDEX(competency_model!$F$2:$F$25,MATCH(G52,competency_model!$A$2:$A$25,0)),"")</f>
        <v>3</v>
      </c>
      <c r="K52" s="16" t="str">
        <f>IFERROR(INDEX(competency_model!$G$2:$G$25,MATCH(G52,competency_model!$A$2:$A$25,0)),"")</f>
        <v>Medium</v>
      </c>
      <c r="L52" s="21">
        <v>2</v>
      </c>
      <c r="M52" s="21">
        <f t="shared" si="0"/>
        <v>1</v>
      </c>
      <c r="N52" s="16" t="str">
        <f t="shared" si="1"/>
        <v>Minor</v>
      </c>
      <c r="O52" s="21">
        <f t="shared" si="2"/>
        <v>2</v>
      </c>
      <c r="P52" s="21">
        <f t="shared" si="3"/>
        <v>2</v>
      </c>
      <c r="Q52" s="16" t="str">
        <f t="shared" si="4"/>
        <v>Development Needed</v>
      </c>
      <c r="R52" s="16" t="s">
        <v>228</v>
      </c>
      <c r="S52" s="23">
        <v>46159.836971886572</v>
      </c>
      <c r="T52" s="25">
        <f t="shared" ca="1" si="5"/>
        <v>42.163028113427572</v>
      </c>
      <c r="U52" s="16" t="s">
        <v>223</v>
      </c>
      <c r="V52" s="16"/>
      <c r="W52" s="6" t="str">
        <f ca="1">IF(R52="Missing","Missing evidence",IF(T52&gt;365,"Stale assessment",IF(COUNTIFS($B$2:$B$264,B52,$G$2:$G$264,G52)&gt;1,"Duplicate competency record",IF(INDEX(employees!$H$2:$H$37,MATCH(B52,employees!$A$2:$A$37,0))="Inactive","Inactive account","OK"))))</f>
        <v>OK</v>
      </c>
    </row>
    <row r="53" spans="1:23" ht="15" customHeight="1">
      <c r="A53" s="5" t="s">
        <v>282</v>
      </c>
      <c r="B53" s="16" t="s">
        <v>71</v>
      </c>
      <c r="C53" s="16" t="str">
        <f>IFERROR(INDEX(employees!$B$2:$B$37,MATCH(B53,employees!$A$2:$A$37,0)),"")</f>
        <v>Morgan Nguyen</v>
      </c>
      <c r="D53" s="16" t="str">
        <f>IFERROR(INDEX(employees!$C$2:$C$37,MATCH(B53,employees!$A$2:$A$37,0)),"")</f>
        <v>Asset Management</v>
      </c>
      <c r="E53" s="16" t="str">
        <f>IFERROR(INDEX(employees!$D$2:$D$37,MATCH(B53,employees!$A$2:$A$37,0)),"")</f>
        <v>Data &amp; Reporting</v>
      </c>
      <c r="F53" s="16" t="str">
        <f>IFERROR(INDEX(employees!$E$2:$E$37,MATCH(B53,employees!$A$2:$A$37,0)),"")</f>
        <v>Lead Engineer</v>
      </c>
      <c r="G53" s="16" t="s">
        <v>163</v>
      </c>
      <c r="H53" s="16" t="str">
        <f>IFERROR(INDEX(competency_model!$C$2:$C$25,MATCH(G53,competency_model!$A$2:$A$25,0)),"")</f>
        <v>Engineering Documentation</v>
      </c>
      <c r="I53" s="16" t="str">
        <f>IFERROR(INDEX(competency_model!$D$2:$D$25,MATCH(G53,competency_model!$A$2:$A$25,0)),"")</f>
        <v>Technical Documentation</v>
      </c>
      <c r="J53" s="16">
        <f>IFERROR(INDEX(competency_model!$F$2:$F$25,MATCH(G53,competency_model!$A$2:$A$25,0)),"")</f>
        <v>4</v>
      </c>
      <c r="K53" s="16" t="str">
        <f>IFERROR(INDEX(competency_model!$G$2:$G$25,MATCH(G53,competency_model!$A$2:$A$25,0)),"")</f>
        <v>High</v>
      </c>
      <c r="L53" s="21">
        <v>3</v>
      </c>
      <c r="M53" s="21">
        <f t="shared" si="0"/>
        <v>1</v>
      </c>
      <c r="N53" s="16" t="str">
        <f t="shared" si="1"/>
        <v>Minor</v>
      </c>
      <c r="O53" s="21">
        <f t="shared" si="2"/>
        <v>3</v>
      </c>
      <c r="P53" s="21">
        <f t="shared" si="3"/>
        <v>3</v>
      </c>
      <c r="Q53" s="16" t="str">
        <f t="shared" si="4"/>
        <v>Development Needed</v>
      </c>
      <c r="R53" s="16" t="s">
        <v>228</v>
      </c>
      <c r="S53" s="23">
        <v>46142.346791064818</v>
      </c>
      <c r="T53" s="25">
        <f t="shared" ca="1" si="5"/>
        <v>59.653208935182192</v>
      </c>
      <c r="U53" s="16" t="s">
        <v>223</v>
      </c>
      <c r="V53" s="16" t="s">
        <v>226</v>
      </c>
      <c r="W53" s="6" t="str">
        <f ca="1">IF(R53="Missing","Missing evidence",IF(T53&gt;365,"Stale assessment",IF(COUNTIFS($B$2:$B$264,B53,$G$2:$G$264,G53)&gt;1,"Duplicate competency record",IF(INDEX(employees!$H$2:$H$37,MATCH(B53,employees!$A$2:$A$37,0))="Inactive","Inactive account","OK"))))</f>
        <v>OK</v>
      </c>
    </row>
    <row r="54" spans="1:23" ht="15" customHeight="1">
      <c r="A54" s="5" t="s">
        <v>283</v>
      </c>
      <c r="B54" s="16" t="s">
        <v>71</v>
      </c>
      <c r="C54" s="16" t="str">
        <f>IFERROR(INDEX(employees!$B$2:$B$37,MATCH(B54,employees!$A$2:$A$37,0)),"")</f>
        <v>Morgan Nguyen</v>
      </c>
      <c r="D54" s="16" t="str">
        <f>IFERROR(INDEX(employees!$C$2:$C$37,MATCH(B54,employees!$A$2:$A$37,0)),"")</f>
        <v>Asset Management</v>
      </c>
      <c r="E54" s="16" t="str">
        <f>IFERROR(INDEX(employees!$D$2:$D$37,MATCH(B54,employees!$A$2:$A$37,0)),"")</f>
        <v>Data &amp; Reporting</v>
      </c>
      <c r="F54" s="16" t="str">
        <f>IFERROR(INDEX(employees!$E$2:$E$37,MATCH(B54,employees!$A$2:$A$37,0)),"")</f>
        <v>Lead Engineer</v>
      </c>
      <c r="G54" s="16" t="s">
        <v>200</v>
      </c>
      <c r="H54" s="16" t="str">
        <f>IFERROR(INDEX(competency_model!$C$2:$C$25,MATCH(G54,competency_model!$A$2:$A$25,0)),"")</f>
        <v>Excel Reporting</v>
      </c>
      <c r="I54" s="16" t="str">
        <f>IFERROR(INDEX(competency_model!$D$2:$D$25,MATCH(G54,competency_model!$A$2:$A$25,0)),"")</f>
        <v>Recurring KPI Reporting</v>
      </c>
      <c r="J54" s="16">
        <f>IFERROR(INDEX(competency_model!$F$2:$F$25,MATCH(G54,competency_model!$A$2:$A$25,0)),"")</f>
        <v>4</v>
      </c>
      <c r="K54" s="16" t="str">
        <f>IFERROR(INDEX(competency_model!$G$2:$G$25,MATCH(G54,competency_model!$A$2:$A$25,0)),"")</f>
        <v>High</v>
      </c>
      <c r="L54" s="21">
        <v>2</v>
      </c>
      <c r="M54" s="21">
        <f t="shared" si="0"/>
        <v>2</v>
      </c>
      <c r="N54" s="16" t="str">
        <f t="shared" si="1"/>
        <v>Moderate</v>
      </c>
      <c r="O54" s="21">
        <f t="shared" si="2"/>
        <v>3</v>
      </c>
      <c r="P54" s="21">
        <f t="shared" si="3"/>
        <v>6</v>
      </c>
      <c r="Q54" s="16" t="str">
        <f t="shared" si="4"/>
        <v>Development Needed</v>
      </c>
      <c r="R54" s="16" t="s">
        <v>225</v>
      </c>
      <c r="S54" s="23">
        <v>46165.867802418979</v>
      </c>
      <c r="T54" s="25">
        <f t="shared" ca="1" si="5"/>
        <v>36.132197581020591</v>
      </c>
      <c r="U54" s="16" t="s">
        <v>223</v>
      </c>
      <c r="V54" s="16" t="s">
        <v>239</v>
      </c>
      <c r="W54" s="6" t="str">
        <f ca="1">IF(R54="Missing","Missing evidence",IF(T54&gt;365,"Stale assessment",IF(COUNTIFS($B$2:$B$264,B54,$G$2:$G$264,G54)&gt;1,"Duplicate competency record",IF(INDEX(employees!$H$2:$H$37,MATCH(B54,employees!$A$2:$A$37,0))="Inactive","Inactive account","OK"))))</f>
        <v>OK</v>
      </c>
    </row>
    <row r="55" spans="1:23" ht="15" customHeight="1">
      <c r="A55" s="5" t="s">
        <v>284</v>
      </c>
      <c r="B55" s="16" t="s">
        <v>74</v>
      </c>
      <c r="C55" s="16" t="str">
        <f>IFERROR(INDEX(employees!$B$2:$B$37,MATCH(B55,employees!$A$2:$A$37,0)),"")</f>
        <v>Morgan Williams</v>
      </c>
      <c r="D55" s="16" t="str">
        <f>IFERROR(INDEX(employees!$C$2:$C$37,MATCH(B55,employees!$A$2:$A$37,0)),"")</f>
        <v>HVDC</v>
      </c>
      <c r="E55" s="16" t="str">
        <f>IFERROR(INDEX(employees!$D$2:$D$37,MATCH(B55,employees!$A$2:$A$37,0)),"")</f>
        <v>Systems Engineering</v>
      </c>
      <c r="F55" s="16" t="str">
        <f>IFERROR(INDEX(employees!$E$2:$E$37,MATCH(B55,employees!$A$2:$A$37,0)),"")</f>
        <v>Engineer</v>
      </c>
      <c r="G55" s="16" t="s">
        <v>154</v>
      </c>
      <c r="H55" s="16" t="str">
        <f>IFERROR(INDEX(competency_model!$C$2:$C$25,MATCH(G55,competency_model!$A$2:$A$25,0)),"")</f>
        <v>Excel Reporting</v>
      </c>
      <c r="I55" s="16" t="str">
        <f>IFERROR(INDEX(competency_model!$D$2:$D$25,MATCH(G55,competency_model!$A$2:$A$25,0)),"")</f>
        <v>PivotTables and Power Query</v>
      </c>
      <c r="J55" s="16">
        <f>IFERROR(INDEX(competency_model!$F$2:$F$25,MATCH(G55,competency_model!$A$2:$A$25,0)),"")</f>
        <v>4</v>
      </c>
      <c r="K55" s="16" t="str">
        <f>IFERROR(INDEX(competency_model!$G$2:$G$25,MATCH(G55,competency_model!$A$2:$A$25,0)),"")</f>
        <v>High</v>
      </c>
      <c r="L55" s="21">
        <v>4</v>
      </c>
      <c r="M55" s="21">
        <f t="shared" si="0"/>
        <v>0</v>
      </c>
      <c r="N55" s="16" t="str">
        <f t="shared" si="1"/>
        <v>No Gap</v>
      </c>
      <c r="O55" s="21">
        <f t="shared" si="2"/>
        <v>3</v>
      </c>
      <c r="P55" s="21">
        <f t="shared" si="3"/>
        <v>0</v>
      </c>
      <c r="Q55" s="16" t="str">
        <f t="shared" si="4"/>
        <v>Ready</v>
      </c>
      <c r="R55" s="16" t="s">
        <v>225</v>
      </c>
      <c r="S55" s="23">
        <v>46037.987299236112</v>
      </c>
      <c r="T55" s="25">
        <f t="shared" ca="1" si="5"/>
        <v>164.01270076388755</v>
      </c>
      <c r="U55" s="16" t="s">
        <v>223</v>
      </c>
      <c r="V55" s="16" t="s">
        <v>226</v>
      </c>
      <c r="W55" s="6" t="str">
        <f ca="1">IF(R55="Missing","Missing evidence",IF(T55&gt;365,"Stale assessment",IF(COUNTIFS($B$2:$B$264,B55,$G$2:$G$264,G55)&gt;1,"Duplicate competency record",IF(INDEX(employees!$H$2:$H$37,MATCH(B55,employees!$A$2:$A$37,0))="Inactive","Inactive account","OK"))))</f>
        <v>OK</v>
      </c>
    </row>
    <row r="56" spans="1:23" ht="15" customHeight="1">
      <c r="A56" s="5" t="s">
        <v>285</v>
      </c>
      <c r="B56" s="16" t="s">
        <v>74</v>
      </c>
      <c r="C56" s="16" t="str">
        <f>IFERROR(INDEX(employees!$B$2:$B$37,MATCH(B56,employees!$A$2:$A$37,0)),"")</f>
        <v>Morgan Williams</v>
      </c>
      <c r="D56" s="16" t="str">
        <f>IFERROR(INDEX(employees!$C$2:$C$37,MATCH(B56,employees!$A$2:$A$37,0)),"")</f>
        <v>HVDC</v>
      </c>
      <c r="E56" s="16" t="str">
        <f>IFERROR(INDEX(employees!$D$2:$D$37,MATCH(B56,employees!$A$2:$A$37,0)),"")</f>
        <v>Systems Engineering</v>
      </c>
      <c r="F56" s="16" t="str">
        <f>IFERROR(INDEX(employees!$E$2:$E$37,MATCH(B56,employees!$A$2:$A$37,0)),"")</f>
        <v>Engineer</v>
      </c>
      <c r="G56" s="16" t="s">
        <v>181</v>
      </c>
      <c r="H56" s="16" t="str">
        <f>IFERROR(INDEX(competency_model!$C$2:$C$25,MATCH(G56,competency_model!$A$2:$A$25,0)),"")</f>
        <v>Stakeholder Communication</v>
      </c>
      <c r="I56" s="16" t="str">
        <f>IFERROR(INDEX(competency_model!$D$2:$D$25,MATCH(G56,competency_model!$A$2:$A$25,0)),"")</f>
        <v>Cross-Functional Updates</v>
      </c>
      <c r="J56" s="16">
        <f>IFERROR(INDEX(competency_model!$F$2:$F$25,MATCH(G56,competency_model!$A$2:$A$25,0)),"")</f>
        <v>3</v>
      </c>
      <c r="K56" s="16" t="str">
        <f>IFERROR(INDEX(competency_model!$G$2:$G$25,MATCH(G56,competency_model!$A$2:$A$25,0)),"")</f>
        <v>Medium</v>
      </c>
      <c r="L56" s="21">
        <v>1</v>
      </c>
      <c r="M56" s="21">
        <f t="shared" si="0"/>
        <v>2</v>
      </c>
      <c r="N56" s="16" t="str">
        <f t="shared" si="1"/>
        <v>Moderate</v>
      </c>
      <c r="O56" s="21">
        <f t="shared" si="2"/>
        <v>2</v>
      </c>
      <c r="P56" s="21">
        <f t="shared" si="3"/>
        <v>4</v>
      </c>
      <c r="Q56" s="16" t="str">
        <f t="shared" si="4"/>
        <v>Development Needed</v>
      </c>
      <c r="R56" s="16" t="s">
        <v>228</v>
      </c>
      <c r="S56" s="23">
        <v>46076.0674634838</v>
      </c>
      <c r="T56" s="25">
        <f t="shared" ca="1" si="5"/>
        <v>125.93253651620034</v>
      </c>
      <c r="U56" s="16" t="s">
        <v>229</v>
      </c>
      <c r="V56" s="16"/>
      <c r="W56" s="6" t="str">
        <f ca="1">IF(R56="Missing","Missing evidence",IF(T56&gt;365,"Stale assessment",IF(COUNTIFS($B$2:$B$264,B56,$G$2:$G$264,G56)&gt;1,"Duplicate competency record",IF(INDEX(employees!$H$2:$H$37,MATCH(B56,employees!$A$2:$A$37,0))="Inactive","Inactive account","OK"))))</f>
        <v>OK</v>
      </c>
    </row>
    <row r="57" spans="1:23" ht="15" customHeight="1">
      <c r="A57" s="5" t="s">
        <v>286</v>
      </c>
      <c r="B57" s="16" t="s">
        <v>74</v>
      </c>
      <c r="C57" s="16" t="str">
        <f>IFERROR(INDEX(employees!$B$2:$B$37,MATCH(B57,employees!$A$2:$A$37,0)),"")</f>
        <v>Morgan Williams</v>
      </c>
      <c r="D57" s="16" t="str">
        <f>IFERROR(INDEX(employees!$C$2:$C$37,MATCH(B57,employees!$A$2:$A$37,0)),"")</f>
        <v>HVDC</v>
      </c>
      <c r="E57" s="16" t="str">
        <f>IFERROR(INDEX(employees!$D$2:$D$37,MATCH(B57,employees!$A$2:$A$37,0)),"")</f>
        <v>Systems Engineering</v>
      </c>
      <c r="F57" s="16" t="str">
        <f>IFERROR(INDEX(employees!$E$2:$E$37,MATCH(B57,employees!$A$2:$A$37,0)),"")</f>
        <v>Engineer</v>
      </c>
      <c r="G57" s="16" t="s">
        <v>160</v>
      </c>
      <c r="H57" s="16" t="str">
        <f>IFERROR(INDEX(competency_model!$C$2:$C$25,MATCH(G57,competency_model!$A$2:$A$25,0)),"")</f>
        <v>PowerPoint Presentation</v>
      </c>
      <c r="I57" s="16" t="str">
        <f>IFERROR(INDEX(competency_model!$D$2:$D$25,MATCH(G57,competency_model!$A$2:$A$25,0)),"")</f>
        <v>Leadership Storytelling</v>
      </c>
      <c r="J57" s="16">
        <f>IFERROR(INDEX(competency_model!$F$2:$F$25,MATCH(G57,competency_model!$A$2:$A$25,0)),"")</f>
        <v>3</v>
      </c>
      <c r="K57" s="16" t="str">
        <f>IFERROR(INDEX(competency_model!$G$2:$G$25,MATCH(G57,competency_model!$A$2:$A$25,0)),"")</f>
        <v>Medium</v>
      </c>
      <c r="L57" s="21">
        <v>3</v>
      </c>
      <c r="M57" s="21">
        <f t="shared" si="0"/>
        <v>0</v>
      </c>
      <c r="N57" s="16" t="str">
        <f t="shared" si="1"/>
        <v>No Gap</v>
      </c>
      <c r="O57" s="21">
        <f t="shared" si="2"/>
        <v>2</v>
      </c>
      <c r="P57" s="21">
        <f t="shared" si="3"/>
        <v>0</v>
      </c>
      <c r="Q57" s="16" t="str">
        <f t="shared" si="4"/>
        <v>Ready</v>
      </c>
      <c r="R57" s="16" t="s">
        <v>228</v>
      </c>
      <c r="S57" s="23">
        <v>46011.201816157409</v>
      </c>
      <c r="T57" s="25">
        <f t="shared" ca="1" si="5"/>
        <v>190.79818384259124</v>
      </c>
      <c r="U57" s="16" t="s">
        <v>223</v>
      </c>
      <c r="V57" s="16" t="s">
        <v>226</v>
      </c>
      <c r="W57" s="6" t="str">
        <f ca="1">IF(R57="Missing","Missing evidence",IF(T57&gt;365,"Stale assessment",IF(COUNTIFS($B$2:$B$264,B57,$G$2:$G$264,G57)&gt;1,"Duplicate competency record",IF(INDEX(employees!$H$2:$H$37,MATCH(B57,employees!$A$2:$A$37,0))="Inactive","Inactive account","OK"))))</f>
        <v>OK</v>
      </c>
    </row>
    <row r="58" spans="1:23" ht="15" customHeight="1">
      <c r="A58" s="5" t="s">
        <v>287</v>
      </c>
      <c r="B58" s="16" t="s">
        <v>74</v>
      </c>
      <c r="C58" s="16" t="str">
        <f>IFERROR(INDEX(employees!$B$2:$B$37,MATCH(B58,employees!$A$2:$A$37,0)),"")</f>
        <v>Morgan Williams</v>
      </c>
      <c r="D58" s="16" t="str">
        <f>IFERROR(INDEX(employees!$C$2:$C$37,MATCH(B58,employees!$A$2:$A$37,0)),"")</f>
        <v>HVDC</v>
      </c>
      <c r="E58" s="16" t="str">
        <f>IFERROR(INDEX(employees!$D$2:$D$37,MATCH(B58,employees!$A$2:$A$37,0)),"")</f>
        <v>Systems Engineering</v>
      </c>
      <c r="F58" s="16" t="str">
        <f>IFERROR(INDEX(employees!$E$2:$E$37,MATCH(B58,employees!$A$2:$A$37,0)),"")</f>
        <v>Engineer</v>
      </c>
      <c r="G58" s="16" t="s">
        <v>206</v>
      </c>
      <c r="H58" s="16" t="str">
        <f>IFERROR(INDEX(competency_model!$C$2:$C$25,MATCH(G58,competency_model!$A$2:$A$25,0)),"")</f>
        <v>Asset Management</v>
      </c>
      <c r="I58" s="16" t="str">
        <f>IFERROR(INDEX(competency_model!$D$2:$D$25,MATCH(G58,competency_model!$A$2:$A$25,0)),"")</f>
        <v>Engineering Performance Indicators</v>
      </c>
      <c r="J58" s="16">
        <f>IFERROR(INDEX(competency_model!$F$2:$F$25,MATCH(G58,competency_model!$A$2:$A$25,0)),"")</f>
        <v>3</v>
      </c>
      <c r="K58" s="16" t="str">
        <f>IFERROR(INDEX(competency_model!$G$2:$G$25,MATCH(G58,competency_model!$A$2:$A$25,0)),"")</f>
        <v>High</v>
      </c>
      <c r="L58" s="21">
        <v>1</v>
      </c>
      <c r="M58" s="21">
        <f t="shared" si="0"/>
        <v>2</v>
      </c>
      <c r="N58" s="16" t="str">
        <f t="shared" si="1"/>
        <v>Moderate</v>
      </c>
      <c r="O58" s="21">
        <f t="shared" si="2"/>
        <v>3</v>
      </c>
      <c r="P58" s="21">
        <f t="shared" si="3"/>
        <v>6</v>
      </c>
      <c r="Q58" s="16" t="str">
        <f t="shared" si="4"/>
        <v>Development Needed</v>
      </c>
      <c r="R58" s="16" t="s">
        <v>228</v>
      </c>
      <c r="S58" s="23">
        <v>46102.429214143522</v>
      </c>
      <c r="T58" s="25">
        <f t="shared" ca="1" si="5"/>
        <v>99.570785856478324</v>
      </c>
      <c r="U58" s="16" t="s">
        <v>223</v>
      </c>
      <c r="V58" s="16"/>
      <c r="W58" s="6" t="str">
        <f ca="1">IF(R58="Missing","Missing evidence",IF(T58&gt;365,"Stale assessment",IF(COUNTIFS($B$2:$B$264,B58,$G$2:$G$264,G58)&gt;1,"Duplicate competency record",IF(INDEX(employees!$H$2:$H$37,MATCH(B58,employees!$A$2:$A$37,0))="Inactive","Inactive account","OK"))))</f>
        <v>OK</v>
      </c>
    </row>
    <row r="59" spans="1:23" ht="15" customHeight="1">
      <c r="A59" s="5" t="s">
        <v>288</v>
      </c>
      <c r="B59" s="16" t="s">
        <v>74</v>
      </c>
      <c r="C59" s="16" t="str">
        <f>IFERROR(INDEX(employees!$B$2:$B$37,MATCH(B59,employees!$A$2:$A$37,0)),"")</f>
        <v>Morgan Williams</v>
      </c>
      <c r="D59" s="16" t="str">
        <f>IFERROR(INDEX(employees!$C$2:$C$37,MATCH(B59,employees!$A$2:$A$37,0)),"")</f>
        <v>HVDC</v>
      </c>
      <c r="E59" s="16" t="str">
        <f>IFERROR(INDEX(employees!$D$2:$D$37,MATCH(B59,employees!$A$2:$A$37,0)),"")</f>
        <v>Systems Engineering</v>
      </c>
      <c r="F59" s="16" t="str">
        <f>IFERROR(INDEX(employees!$E$2:$E$37,MATCH(B59,employees!$A$2:$A$37,0)),"")</f>
        <v>Engineer</v>
      </c>
      <c r="G59" s="16" t="s">
        <v>163</v>
      </c>
      <c r="H59" s="16" t="str">
        <f>IFERROR(INDEX(competency_model!$C$2:$C$25,MATCH(G59,competency_model!$A$2:$A$25,0)),"")</f>
        <v>Engineering Documentation</v>
      </c>
      <c r="I59" s="16" t="str">
        <f>IFERROR(INDEX(competency_model!$D$2:$D$25,MATCH(G59,competency_model!$A$2:$A$25,0)),"")</f>
        <v>Technical Documentation</v>
      </c>
      <c r="J59" s="16">
        <f>IFERROR(INDEX(competency_model!$F$2:$F$25,MATCH(G59,competency_model!$A$2:$A$25,0)),"")</f>
        <v>4</v>
      </c>
      <c r="K59" s="16" t="str">
        <f>IFERROR(INDEX(competency_model!$G$2:$G$25,MATCH(G59,competency_model!$A$2:$A$25,0)),"")</f>
        <v>High</v>
      </c>
      <c r="L59" s="21">
        <v>2</v>
      </c>
      <c r="M59" s="21">
        <f t="shared" si="0"/>
        <v>2</v>
      </c>
      <c r="N59" s="16" t="str">
        <f t="shared" si="1"/>
        <v>Moderate</v>
      </c>
      <c r="O59" s="21">
        <f t="shared" si="2"/>
        <v>3</v>
      </c>
      <c r="P59" s="21">
        <f t="shared" si="3"/>
        <v>6</v>
      </c>
      <c r="Q59" s="16" t="str">
        <f t="shared" si="4"/>
        <v>Development Needed</v>
      </c>
      <c r="R59" s="16" t="s">
        <v>225</v>
      </c>
      <c r="S59" s="23">
        <v>46164.064209421296</v>
      </c>
      <c r="T59" s="25">
        <f t="shared" ca="1" si="5"/>
        <v>37.935790578703745</v>
      </c>
      <c r="U59" s="16" t="s">
        <v>223</v>
      </c>
      <c r="V59" s="16" t="s">
        <v>226</v>
      </c>
      <c r="W59" s="6" t="str">
        <f ca="1">IF(R59="Missing","Missing evidence",IF(T59&gt;365,"Stale assessment",IF(COUNTIFS($B$2:$B$264,B59,$G$2:$G$264,G59)&gt;1,"Duplicate competency record",IF(INDEX(employees!$H$2:$H$37,MATCH(B59,employees!$A$2:$A$37,0))="Inactive","Inactive account","OK"))))</f>
        <v>OK</v>
      </c>
    </row>
    <row r="60" spans="1:23" ht="15" customHeight="1">
      <c r="A60" s="5" t="s">
        <v>289</v>
      </c>
      <c r="B60" s="16" t="s">
        <v>74</v>
      </c>
      <c r="C60" s="16" t="str">
        <f>IFERROR(INDEX(employees!$B$2:$B$37,MATCH(B60,employees!$A$2:$A$37,0)),"")</f>
        <v>Morgan Williams</v>
      </c>
      <c r="D60" s="16" t="str">
        <f>IFERROR(INDEX(employees!$C$2:$C$37,MATCH(B60,employees!$A$2:$A$37,0)),"")</f>
        <v>HVDC</v>
      </c>
      <c r="E60" s="16" t="str">
        <f>IFERROR(INDEX(employees!$D$2:$D$37,MATCH(B60,employees!$A$2:$A$37,0)),"")</f>
        <v>Systems Engineering</v>
      </c>
      <c r="F60" s="16" t="str">
        <f>IFERROR(INDEX(employees!$E$2:$E$37,MATCH(B60,employees!$A$2:$A$37,0)),"")</f>
        <v>Engineer</v>
      </c>
      <c r="G60" s="16" t="s">
        <v>178</v>
      </c>
      <c r="H60" s="16" t="str">
        <f>IFERROR(INDEX(competency_model!$C$2:$C$25,MATCH(G60,competency_model!$A$2:$A$25,0)),"")</f>
        <v>Stakeholder Communication</v>
      </c>
      <c r="I60" s="16" t="str">
        <f>IFERROR(INDEX(competency_model!$D$2:$D$25,MATCH(G60,competency_model!$A$2:$A$25,0)),"")</f>
        <v>Non-Technical Explanation</v>
      </c>
      <c r="J60" s="16">
        <f>IFERROR(INDEX(competency_model!$F$2:$F$25,MATCH(G60,competency_model!$A$2:$A$25,0)),"")</f>
        <v>3</v>
      </c>
      <c r="K60" s="16" t="str">
        <f>IFERROR(INDEX(competency_model!$G$2:$G$25,MATCH(G60,competency_model!$A$2:$A$25,0)),"")</f>
        <v>Medium</v>
      </c>
      <c r="L60" s="21">
        <v>1</v>
      </c>
      <c r="M60" s="21">
        <f t="shared" si="0"/>
        <v>2</v>
      </c>
      <c r="N60" s="16" t="str">
        <f t="shared" si="1"/>
        <v>Moderate</v>
      </c>
      <c r="O60" s="21">
        <f t="shared" si="2"/>
        <v>2</v>
      </c>
      <c r="P60" s="21">
        <f t="shared" si="3"/>
        <v>4</v>
      </c>
      <c r="Q60" s="16" t="str">
        <f t="shared" si="4"/>
        <v>Development Needed</v>
      </c>
      <c r="R60" s="16" t="s">
        <v>222</v>
      </c>
      <c r="S60" s="23">
        <v>46039.862621585649</v>
      </c>
      <c r="T60" s="25">
        <f t="shared" ca="1" si="5"/>
        <v>162.13737841435068</v>
      </c>
      <c r="U60" s="16" t="s">
        <v>229</v>
      </c>
      <c r="V60" s="16" t="s">
        <v>239</v>
      </c>
      <c r="W60" s="6" t="str">
        <f>IF(R60="Missing","Missing evidence",IF(T60&gt;365,"Stale assessment",IF(COUNTIFS($B$2:$B$264,B60,$G$2:$G$264,G60)&gt;1,"Duplicate competency record",IF(INDEX(employees!$H$2:$H$37,MATCH(B60,employees!$A$2:$A$37,0))="Inactive","Inactive account","OK"))))</f>
        <v>Missing evidence</v>
      </c>
    </row>
    <row r="61" spans="1:23" ht="15" customHeight="1">
      <c r="A61" s="5" t="s">
        <v>290</v>
      </c>
      <c r="B61" s="16" t="s">
        <v>74</v>
      </c>
      <c r="C61" s="16" t="str">
        <f>IFERROR(INDEX(employees!$B$2:$B$37,MATCH(B61,employees!$A$2:$A$37,0)),"")</f>
        <v>Morgan Williams</v>
      </c>
      <c r="D61" s="16" t="str">
        <f>IFERROR(INDEX(employees!$C$2:$C$37,MATCH(B61,employees!$A$2:$A$37,0)),"")</f>
        <v>HVDC</v>
      </c>
      <c r="E61" s="16" t="str">
        <f>IFERROR(INDEX(employees!$D$2:$D$37,MATCH(B61,employees!$A$2:$A$37,0)),"")</f>
        <v>Systems Engineering</v>
      </c>
      <c r="F61" s="16" t="str">
        <f>IFERROR(INDEX(employees!$E$2:$E$37,MATCH(B61,employees!$A$2:$A$37,0)),"")</f>
        <v>Engineer</v>
      </c>
      <c r="G61" s="16" t="s">
        <v>169</v>
      </c>
      <c r="H61" s="16" t="str">
        <f>IFERROR(INDEX(competency_model!$C$2:$C$25,MATCH(G61,competency_model!$A$2:$A$25,0)),"")</f>
        <v>Power Systems Knowledge</v>
      </c>
      <c r="I61" s="16" t="str">
        <f>IFERROR(INDEX(competency_model!$D$2:$D$25,MATCH(G61,competency_model!$A$2:$A$25,0)),"")</f>
        <v>HVDC System Concepts</v>
      </c>
      <c r="J61" s="16">
        <f>IFERROR(INDEX(competency_model!$F$2:$F$25,MATCH(G61,competency_model!$A$2:$A$25,0)),"")</f>
        <v>3</v>
      </c>
      <c r="K61" s="16" t="str">
        <f>IFERROR(INDEX(competency_model!$G$2:$G$25,MATCH(G61,competency_model!$A$2:$A$25,0)),"")</f>
        <v>High</v>
      </c>
      <c r="L61" s="21">
        <v>1</v>
      </c>
      <c r="M61" s="21">
        <f t="shared" si="0"/>
        <v>2</v>
      </c>
      <c r="N61" s="16" t="str">
        <f t="shared" si="1"/>
        <v>Moderate</v>
      </c>
      <c r="O61" s="21">
        <f t="shared" si="2"/>
        <v>3</v>
      </c>
      <c r="P61" s="21">
        <f t="shared" si="3"/>
        <v>6</v>
      </c>
      <c r="Q61" s="16" t="str">
        <f t="shared" si="4"/>
        <v>Development Needed</v>
      </c>
      <c r="R61" s="16" t="s">
        <v>228</v>
      </c>
      <c r="S61" s="23">
        <v>45675.403365787039</v>
      </c>
      <c r="T61" s="25">
        <f t="shared" ca="1" si="5"/>
        <v>526.59663421296136</v>
      </c>
      <c r="U61" s="16" t="s">
        <v>229</v>
      </c>
      <c r="V61" s="16" t="s">
        <v>231</v>
      </c>
      <c r="W61" s="6" t="str">
        <f ca="1">IF(R61="Missing","Missing evidence",IF(T61&gt;365,"Stale assessment",IF(COUNTIFS($B$2:$B$264,B61,$G$2:$G$264,G61)&gt;1,"Duplicate competency record",IF(INDEX(employees!$H$2:$H$37,MATCH(B61,employees!$A$2:$A$37,0))="Inactive","Inactive account","OK"))))</f>
        <v>Stale assessment</v>
      </c>
    </row>
    <row r="62" spans="1:23" ht="15" customHeight="1">
      <c r="A62" s="5" t="s">
        <v>291</v>
      </c>
      <c r="B62" s="16" t="s">
        <v>78</v>
      </c>
      <c r="C62" s="16" t="str">
        <f>IFERROR(INDEX(employees!$B$2:$B$37,MATCH(B62,employees!$A$2:$A$37,0)),"")</f>
        <v>Riley Morgan</v>
      </c>
      <c r="D62" s="16" t="str">
        <f>IFERROR(INDEX(employees!$C$2:$C$37,MATCH(B62,employees!$A$2:$A$37,0)),"")</f>
        <v>Systems Engineering</v>
      </c>
      <c r="E62" s="16" t="str">
        <f>IFERROR(INDEX(employees!$D$2:$D$37,MATCH(B62,employees!$A$2:$A$37,0)),"")</f>
        <v>Testing &amp; Validation</v>
      </c>
      <c r="F62" s="16" t="str">
        <f>IFERROR(INDEX(employees!$E$2:$E$37,MATCH(B62,employees!$A$2:$A$37,0)),"")</f>
        <v>Graduate</v>
      </c>
      <c r="G62" s="16" t="s">
        <v>154</v>
      </c>
      <c r="H62" s="16" t="str">
        <f>IFERROR(INDEX(competency_model!$C$2:$C$25,MATCH(G62,competency_model!$A$2:$A$25,0)),"")</f>
        <v>Excel Reporting</v>
      </c>
      <c r="I62" s="16" t="str">
        <f>IFERROR(INDEX(competency_model!$D$2:$D$25,MATCH(G62,competency_model!$A$2:$A$25,0)),"")</f>
        <v>PivotTables and Power Query</v>
      </c>
      <c r="J62" s="16">
        <f>IFERROR(INDEX(competency_model!$F$2:$F$25,MATCH(G62,competency_model!$A$2:$A$25,0)),"")</f>
        <v>4</v>
      </c>
      <c r="K62" s="16" t="str">
        <f>IFERROR(INDEX(competency_model!$G$2:$G$25,MATCH(G62,competency_model!$A$2:$A$25,0)),"")</f>
        <v>High</v>
      </c>
      <c r="L62" s="21">
        <v>3</v>
      </c>
      <c r="M62" s="21">
        <f t="shared" si="0"/>
        <v>1</v>
      </c>
      <c r="N62" s="16" t="str">
        <f t="shared" si="1"/>
        <v>Minor</v>
      </c>
      <c r="O62" s="21">
        <f t="shared" si="2"/>
        <v>3</v>
      </c>
      <c r="P62" s="21">
        <f t="shared" si="3"/>
        <v>3</v>
      </c>
      <c r="Q62" s="16" t="str">
        <f t="shared" si="4"/>
        <v>Development Needed</v>
      </c>
      <c r="R62" s="16" t="s">
        <v>225</v>
      </c>
      <c r="S62" s="23">
        <v>46074.366691597221</v>
      </c>
      <c r="T62" s="25">
        <f t="shared" ca="1" si="5"/>
        <v>127.63330840277922</v>
      </c>
      <c r="U62" s="16" t="s">
        <v>229</v>
      </c>
      <c r="V62" s="16" t="s">
        <v>233</v>
      </c>
      <c r="W62" s="6" t="str">
        <f ca="1">IF(R62="Missing","Missing evidence",IF(T62&gt;365,"Stale assessment",IF(COUNTIFS($B$2:$B$264,B62,$G$2:$G$264,G62)&gt;1,"Duplicate competency record",IF(INDEX(employees!$H$2:$H$37,MATCH(B62,employees!$A$2:$A$37,0))="Inactive","Inactive account","OK"))))</f>
        <v>OK</v>
      </c>
    </row>
    <row r="63" spans="1:23" ht="15" customHeight="1">
      <c r="A63" s="5" t="s">
        <v>292</v>
      </c>
      <c r="B63" s="16" t="s">
        <v>78</v>
      </c>
      <c r="C63" s="16" t="str">
        <f>IFERROR(INDEX(employees!$B$2:$B$37,MATCH(B63,employees!$A$2:$A$37,0)),"")</f>
        <v>Riley Morgan</v>
      </c>
      <c r="D63" s="16" t="str">
        <f>IFERROR(INDEX(employees!$C$2:$C$37,MATCH(B63,employees!$A$2:$A$37,0)),"")</f>
        <v>Systems Engineering</v>
      </c>
      <c r="E63" s="16" t="str">
        <f>IFERROR(INDEX(employees!$D$2:$D$37,MATCH(B63,employees!$A$2:$A$37,0)),"")</f>
        <v>Testing &amp; Validation</v>
      </c>
      <c r="F63" s="16" t="str">
        <f>IFERROR(INDEX(employees!$E$2:$E$37,MATCH(B63,employees!$A$2:$A$37,0)),"")</f>
        <v>Graduate</v>
      </c>
      <c r="G63" s="16" t="s">
        <v>173</v>
      </c>
      <c r="H63" s="16" t="str">
        <f>IFERROR(INDEX(competency_model!$C$2:$C$25,MATCH(G63,competency_model!$A$2:$A$25,0)),"")</f>
        <v>Testing &amp; Validation</v>
      </c>
      <c r="I63" s="16" t="str">
        <f>IFERROR(INDEX(competency_model!$D$2:$D$25,MATCH(G63,competency_model!$A$2:$A$25,0)),"")</f>
        <v>Defect Investigation</v>
      </c>
      <c r="J63" s="16">
        <f>IFERROR(INDEX(competency_model!$F$2:$F$25,MATCH(G63,competency_model!$A$2:$A$25,0)),"")</f>
        <v>3</v>
      </c>
      <c r="K63" s="16" t="str">
        <f>IFERROR(INDEX(competency_model!$G$2:$G$25,MATCH(G63,competency_model!$A$2:$A$25,0)),"")</f>
        <v>Medium</v>
      </c>
      <c r="L63" s="21">
        <v>3</v>
      </c>
      <c r="M63" s="21">
        <f t="shared" si="0"/>
        <v>0</v>
      </c>
      <c r="N63" s="16" t="str">
        <f t="shared" si="1"/>
        <v>No Gap</v>
      </c>
      <c r="O63" s="21">
        <f t="shared" si="2"/>
        <v>2</v>
      </c>
      <c r="P63" s="21">
        <f t="shared" si="3"/>
        <v>0</v>
      </c>
      <c r="Q63" s="16" t="str">
        <f t="shared" si="4"/>
        <v>Ready</v>
      </c>
      <c r="R63" s="16" t="s">
        <v>228</v>
      </c>
      <c r="S63" s="23">
        <v>46042.815133275464</v>
      </c>
      <c r="T63" s="25">
        <f t="shared" ca="1" si="5"/>
        <v>159.18486672453582</v>
      </c>
      <c r="U63" s="16" t="s">
        <v>223</v>
      </c>
      <c r="V63" s="16" t="s">
        <v>239</v>
      </c>
      <c r="W63" s="6" t="str">
        <f ca="1">IF(R63="Missing","Missing evidence",IF(T63&gt;365,"Stale assessment",IF(COUNTIFS($B$2:$B$264,B63,$G$2:$G$264,G63)&gt;1,"Duplicate competency record",IF(INDEX(employees!$H$2:$H$37,MATCH(B63,employees!$A$2:$A$37,0))="Inactive","Inactive account","OK"))))</f>
        <v>OK</v>
      </c>
    </row>
    <row r="64" spans="1:23" ht="15" customHeight="1">
      <c r="A64" s="5" t="s">
        <v>293</v>
      </c>
      <c r="B64" s="16" t="s">
        <v>78</v>
      </c>
      <c r="C64" s="16" t="str">
        <f>IFERROR(INDEX(employees!$B$2:$B$37,MATCH(B64,employees!$A$2:$A$37,0)),"")</f>
        <v>Riley Morgan</v>
      </c>
      <c r="D64" s="16" t="str">
        <f>IFERROR(INDEX(employees!$C$2:$C$37,MATCH(B64,employees!$A$2:$A$37,0)),"")</f>
        <v>Systems Engineering</v>
      </c>
      <c r="E64" s="16" t="str">
        <f>IFERROR(INDEX(employees!$D$2:$D$37,MATCH(B64,employees!$A$2:$A$37,0)),"")</f>
        <v>Testing &amp; Validation</v>
      </c>
      <c r="F64" s="16" t="str">
        <f>IFERROR(INDEX(employees!$E$2:$E$37,MATCH(B64,employees!$A$2:$A$37,0)),"")</f>
        <v>Graduate</v>
      </c>
      <c r="G64" s="16" t="s">
        <v>192</v>
      </c>
      <c r="H64" s="16" t="str">
        <f>IFERROR(INDEX(competency_model!$C$2:$C$25,MATCH(G64,competency_model!$A$2:$A$25,0)),"")</f>
        <v>Data Quality</v>
      </c>
      <c r="I64" s="16" t="str">
        <f>IFERROR(INDEX(competency_model!$D$2:$D$25,MATCH(G64,competency_model!$A$2:$A$25,0)),"")</f>
        <v>Assessment Evidence Validation</v>
      </c>
      <c r="J64" s="16">
        <f>IFERROR(INDEX(competency_model!$F$2:$F$25,MATCH(G64,competency_model!$A$2:$A$25,0)),"")</f>
        <v>4</v>
      </c>
      <c r="K64" s="16" t="str">
        <f>IFERROR(INDEX(competency_model!$G$2:$G$25,MATCH(G64,competency_model!$A$2:$A$25,0)),"")</f>
        <v>High</v>
      </c>
      <c r="L64" s="21">
        <v>4</v>
      </c>
      <c r="M64" s="21">
        <f t="shared" si="0"/>
        <v>0</v>
      </c>
      <c r="N64" s="16" t="str">
        <f t="shared" si="1"/>
        <v>No Gap</v>
      </c>
      <c r="O64" s="21">
        <f t="shared" si="2"/>
        <v>3</v>
      </c>
      <c r="P64" s="21">
        <f t="shared" si="3"/>
        <v>0</v>
      </c>
      <c r="Q64" s="16" t="str">
        <f t="shared" si="4"/>
        <v>Ready</v>
      </c>
      <c r="R64" s="16" t="s">
        <v>228</v>
      </c>
      <c r="S64" s="23">
        <v>45826.127300358799</v>
      </c>
      <c r="T64" s="25">
        <f t="shared" ca="1" si="5"/>
        <v>375.8726996412006</v>
      </c>
      <c r="U64" s="16" t="s">
        <v>229</v>
      </c>
      <c r="V64" s="16"/>
      <c r="W64" s="6" t="str">
        <f ca="1">IF(R64="Missing","Missing evidence",IF(T64&gt;365,"Stale assessment",IF(COUNTIFS($B$2:$B$264,B64,$G$2:$G$264,G64)&gt;1,"Duplicate competency record",IF(INDEX(employees!$H$2:$H$37,MATCH(B64,employees!$A$2:$A$37,0))="Inactive","Inactive account","OK"))))</f>
        <v>Stale assessment</v>
      </c>
    </row>
    <row r="65" spans="1:23" ht="15" customHeight="1">
      <c r="A65" s="5" t="s">
        <v>294</v>
      </c>
      <c r="B65" s="16" t="s">
        <v>78</v>
      </c>
      <c r="C65" s="16" t="str">
        <f>IFERROR(INDEX(employees!$B$2:$B$37,MATCH(B65,employees!$A$2:$A$37,0)),"")</f>
        <v>Riley Morgan</v>
      </c>
      <c r="D65" s="16" t="str">
        <f>IFERROR(INDEX(employees!$C$2:$C$37,MATCH(B65,employees!$A$2:$A$37,0)),"")</f>
        <v>Systems Engineering</v>
      </c>
      <c r="E65" s="16" t="str">
        <f>IFERROR(INDEX(employees!$D$2:$D$37,MATCH(B65,employees!$A$2:$A$37,0)),"")</f>
        <v>Testing &amp; Validation</v>
      </c>
      <c r="F65" s="16" t="str">
        <f>IFERROR(INDEX(employees!$E$2:$E$37,MATCH(B65,employees!$A$2:$A$37,0)),"")</f>
        <v>Graduate</v>
      </c>
      <c r="G65" s="16" t="s">
        <v>171</v>
      </c>
      <c r="H65" s="16" t="str">
        <f>IFERROR(INDEX(competency_model!$C$2:$C$25,MATCH(G65,competency_model!$A$2:$A$25,0)),"")</f>
        <v>Testing &amp; Validation</v>
      </c>
      <c r="I65" s="16" t="str">
        <f>IFERROR(INDEX(competency_model!$D$2:$D$25,MATCH(G65,competency_model!$A$2:$A$25,0)),"")</f>
        <v>Test Evidence Review</v>
      </c>
      <c r="J65" s="16">
        <f>IFERROR(INDEX(competency_model!$F$2:$F$25,MATCH(G65,competency_model!$A$2:$A$25,0)),"")</f>
        <v>4</v>
      </c>
      <c r="K65" s="16" t="str">
        <f>IFERROR(INDEX(competency_model!$G$2:$G$25,MATCH(G65,competency_model!$A$2:$A$25,0)),"")</f>
        <v>High</v>
      </c>
      <c r="L65" s="21">
        <v>1</v>
      </c>
      <c r="M65" s="21">
        <f t="shared" si="0"/>
        <v>3</v>
      </c>
      <c r="N65" s="16" t="str">
        <f t="shared" si="1"/>
        <v>Critical</v>
      </c>
      <c r="O65" s="21">
        <f t="shared" si="2"/>
        <v>3</v>
      </c>
      <c r="P65" s="21">
        <f t="shared" si="3"/>
        <v>9</v>
      </c>
      <c r="Q65" s="16" t="str">
        <f t="shared" si="4"/>
        <v>Development Needed</v>
      </c>
      <c r="R65" s="16" t="s">
        <v>228</v>
      </c>
      <c r="S65" s="23">
        <v>45972.747373287035</v>
      </c>
      <c r="T65" s="25">
        <f t="shared" ca="1" si="5"/>
        <v>229.25262671296514</v>
      </c>
      <c r="U65" s="16" t="s">
        <v>242</v>
      </c>
      <c r="V65" s="16" t="s">
        <v>233</v>
      </c>
      <c r="W65" s="6" t="str">
        <f ca="1">IF(R65="Missing","Missing evidence",IF(T65&gt;365,"Stale assessment",IF(COUNTIFS($B$2:$B$264,B65,$G$2:$G$264,G65)&gt;1,"Duplicate competency record",IF(INDEX(employees!$H$2:$H$37,MATCH(B65,employees!$A$2:$A$37,0))="Inactive","Inactive account","OK"))))</f>
        <v>OK</v>
      </c>
    </row>
    <row r="66" spans="1:23" ht="15" customHeight="1">
      <c r="A66" s="5" t="s">
        <v>295</v>
      </c>
      <c r="B66" s="16" t="s">
        <v>78</v>
      </c>
      <c r="C66" s="16" t="str">
        <f>IFERROR(INDEX(employees!$B$2:$B$37,MATCH(B66,employees!$A$2:$A$37,0)),"")</f>
        <v>Riley Morgan</v>
      </c>
      <c r="D66" s="16" t="str">
        <f>IFERROR(INDEX(employees!$C$2:$C$37,MATCH(B66,employees!$A$2:$A$37,0)),"")</f>
        <v>Systems Engineering</v>
      </c>
      <c r="E66" s="16" t="str">
        <f>IFERROR(INDEX(employees!$D$2:$D$37,MATCH(B66,employees!$A$2:$A$37,0)),"")</f>
        <v>Testing &amp; Validation</v>
      </c>
      <c r="F66" s="16" t="str">
        <f>IFERROR(INDEX(employees!$E$2:$E$37,MATCH(B66,employees!$A$2:$A$37,0)),"")</f>
        <v>Graduate</v>
      </c>
      <c r="G66" s="16" t="s">
        <v>189</v>
      </c>
      <c r="H66" s="16" t="str">
        <f>IFERROR(INDEX(competency_model!$C$2:$C$25,MATCH(G66,competency_model!$A$2:$A$25,0)),"")</f>
        <v>Data Quality</v>
      </c>
      <c r="I66" s="16" t="str">
        <f>IFERROR(INDEX(competency_model!$D$2:$D$25,MATCH(G66,competency_model!$A$2:$A$25,0)),"")</f>
        <v>Duplicate and Missing Value Checks</v>
      </c>
      <c r="J66" s="16">
        <f>IFERROR(INDEX(competency_model!$F$2:$F$25,MATCH(G66,competency_model!$A$2:$A$25,0)),"")</f>
        <v>4</v>
      </c>
      <c r="K66" s="16" t="str">
        <f>IFERROR(INDEX(competency_model!$G$2:$G$25,MATCH(G66,competency_model!$A$2:$A$25,0)),"")</f>
        <v>High</v>
      </c>
      <c r="L66" s="21">
        <v>2</v>
      </c>
      <c r="M66" s="21">
        <f t="shared" ref="M66:M129" si="6">MAX(0,J66-L66)</f>
        <v>2</v>
      </c>
      <c r="N66" s="16" t="str">
        <f t="shared" ref="N66:N129" si="7">IF(M66=0,"No Gap",IF(M66=1,"Minor",IF(M66=2,"Moderate","Critical")))</f>
        <v>Moderate</v>
      </c>
      <c r="O66" s="21">
        <f t="shared" ref="O66:O129" si="8">IF(K66="High",3,IF(K66="Medium",2,1))</f>
        <v>3</v>
      </c>
      <c r="P66" s="21">
        <f t="shared" ref="P66:P129" si="9">M66*O66</f>
        <v>6</v>
      </c>
      <c r="Q66" s="16" t="str">
        <f t="shared" ref="Q66:Q129" si="10">IF(L66&gt;=J66,"Ready","Development Needed")</f>
        <v>Development Needed</v>
      </c>
      <c r="R66" s="16" t="s">
        <v>225</v>
      </c>
      <c r="S66" s="23">
        <v>46039.715561840276</v>
      </c>
      <c r="T66" s="25">
        <f t="shared" ref="T66:T129" ca="1" si="11">TODAY()-S66</f>
        <v>162.28443815972423</v>
      </c>
      <c r="U66" s="16" t="s">
        <v>242</v>
      </c>
      <c r="V66" s="16"/>
      <c r="W66" s="6" t="str">
        <f ca="1">IF(R66="Missing","Missing evidence",IF(T66&gt;365,"Stale assessment",IF(COUNTIFS($B$2:$B$264,B66,$G$2:$G$264,G66)&gt;1,"Duplicate competency record",IF(INDEX(employees!$H$2:$H$37,MATCH(B66,employees!$A$2:$A$37,0))="Inactive","Inactive account","OK"))))</f>
        <v>OK</v>
      </c>
    </row>
    <row r="67" spans="1:23" ht="15" customHeight="1">
      <c r="A67" s="5" t="s">
        <v>296</v>
      </c>
      <c r="B67" s="16" t="s">
        <v>78</v>
      </c>
      <c r="C67" s="16" t="str">
        <f>IFERROR(INDEX(employees!$B$2:$B$37,MATCH(B67,employees!$A$2:$A$37,0)),"")</f>
        <v>Riley Morgan</v>
      </c>
      <c r="D67" s="16" t="str">
        <f>IFERROR(INDEX(employees!$C$2:$C$37,MATCH(B67,employees!$A$2:$A$37,0)),"")</f>
        <v>Systems Engineering</v>
      </c>
      <c r="E67" s="16" t="str">
        <f>IFERROR(INDEX(employees!$D$2:$D$37,MATCH(B67,employees!$A$2:$A$37,0)),"")</f>
        <v>Testing &amp; Validation</v>
      </c>
      <c r="F67" s="16" t="str">
        <f>IFERROR(INDEX(employees!$E$2:$E$37,MATCH(B67,employees!$A$2:$A$37,0)),"")</f>
        <v>Graduate</v>
      </c>
      <c r="G67" s="16" t="s">
        <v>175</v>
      </c>
      <c r="H67" s="16" t="str">
        <f>IFERROR(INDEX(competency_model!$C$2:$C$25,MATCH(G67,competency_model!$A$2:$A$25,0)),"")</f>
        <v>Safety / Compliance</v>
      </c>
      <c r="I67" s="16" t="str">
        <f>IFERROR(INDEX(competency_model!$D$2:$D$25,MATCH(G67,competency_model!$A$2:$A$25,0)),"")</f>
        <v>Engineering Safety Awareness</v>
      </c>
      <c r="J67" s="16">
        <f>IFERROR(INDEX(competency_model!$F$2:$F$25,MATCH(G67,competency_model!$A$2:$A$25,0)),"")</f>
        <v>4</v>
      </c>
      <c r="K67" s="16" t="str">
        <f>IFERROR(INDEX(competency_model!$G$2:$G$25,MATCH(G67,competency_model!$A$2:$A$25,0)),"")</f>
        <v>High</v>
      </c>
      <c r="L67" s="21">
        <v>4</v>
      </c>
      <c r="M67" s="21">
        <f t="shared" si="6"/>
        <v>0</v>
      </c>
      <c r="N67" s="16" t="str">
        <f t="shared" si="7"/>
        <v>No Gap</v>
      </c>
      <c r="O67" s="21">
        <f t="shared" si="8"/>
        <v>3</v>
      </c>
      <c r="P67" s="21">
        <f t="shared" si="9"/>
        <v>0</v>
      </c>
      <c r="Q67" s="16" t="str">
        <f t="shared" si="10"/>
        <v>Ready</v>
      </c>
      <c r="R67" s="16" t="s">
        <v>225</v>
      </c>
      <c r="S67" s="23">
        <v>46102.532046504632</v>
      </c>
      <c r="T67" s="25">
        <f t="shared" ca="1" si="11"/>
        <v>99.46795349536842</v>
      </c>
      <c r="U67" s="16" t="s">
        <v>229</v>
      </c>
      <c r="V67" s="16"/>
      <c r="W67" s="6" t="str">
        <f ca="1">IF(R67="Missing","Missing evidence",IF(T67&gt;365,"Stale assessment",IF(COUNTIFS($B$2:$B$264,B67,$G$2:$G$264,G67)&gt;1,"Duplicate competency record",IF(INDEX(employees!$H$2:$H$37,MATCH(B67,employees!$A$2:$A$37,0))="Inactive","Inactive account","OK"))))</f>
        <v>OK</v>
      </c>
    </row>
    <row r="68" spans="1:23" ht="15" customHeight="1">
      <c r="A68" s="5" t="s">
        <v>297</v>
      </c>
      <c r="B68" s="16" t="s">
        <v>78</v>
      </c>
      <c r="C68" s="16" t="str">
        <f>IFERROR(INDEX(employees!$B$2:$B$37,MATCH(B68,employees!$A$2:$A$37,0)),"")</f>
        <v>Riley Morgan</v>
      </c>
      <c r="D68" s="16" t="str">
        <f>IFERROR(INDEX(employees!$C$2:$C$37,MATCH(B68,employees!$A$2:$A$37,0)),"")</f>
        <v>Systems Engineering</v>
      </c>
      <c r="E68" s="16" t="str">
        <f>IFERROR(INDEX(employees!$D$2:$D$37,MATCH(B68,employees!$A$2:$A$37,0)),"")</f>
        <v>Testing &amp; Validation</v>
      </c>
      <c r="F68" s="16" t="str">
        <f>IFERROR(INDEX(employees!$E$2:$E$37,MATCH(B68,employees!$A$2:$A$37,0)),"")</f>
        <v>Graduate</v>
      </c>
      <c r="G68" s="16" t="s">
        <v>178</v>
      </c>
      <c r="H68" s="16" t="str">
        <f>IFERROR(INDEX(competency_model!$C$2:$C$25,MATCH(G68,competency_model!$A$2:$A$25,0)),"")</f>
        <v>Stakeholder Communication</v>
      </c>
      <c r="I68" s="16" t="str">
        <f>IFERROR(INDEX(competency_model!$D$2:$D$25,MATCH(G68,competency_model!$A$2:$A$25,0)),"")</f>
        <v>Non-Technical Explanation</v>
      </c>
      <c r="J68" s="16">
        <f>IFERROR(INDEX(competency_model!$F$2:$F$25,MATCH(G68,competency_model!$A$2:$A$25,0)),"")</f>
        <v>3</v>
      </c>
      <c r="K68" s="16" t="str">
        <f>IFERROR(INDEX(competency_model!$G$2:$G$25,MATCH(G68,competency_model!$A$2:$A$25,0)),"")</f>
        <v>Medium</v>
      </c>
      <c r="L68" s="21">
        <v>3</v>
      </c>
      <c r="M68" s="21">
        <f t="shared" si="6"/>
        <v>0</v>
      </c>
      <c r="N68" s="16" t="str">
        <f t="shared" si="7"/>
        <v>No Gap</v>
      </c>
      <c r="O68" s="21">
        <f t="shared" si="8"/>
        <v>2</v>
      </c>
      <c r="P68" s="21">
        <f t="shared" si="9"/>
        <v>0</v>
      </c>
      <c r="Q68" s="16" t="str">
        <f t="shared" si="10"/>
        <v>Ready</v>
      </c>
      <c r="R68" s="16" t="s">
        <v>228</v>
      </c>
      <c r="S68" s="23">
        <v>45709.081553379627</v>
      </c>
      <c r="T68" s="25">
        <f t="shared" ca="1" si="11"/>
        <v>492.91844662037329</v>
      </c>
      <c r="U68" s="16" t="s">
        <v>229</v>
      </c>
      <c r="V68" s="16" t="s">
        <v>239</v>
      </c>
      <c r="W68" s="6" t="str">
        <f ca="1">IF(R68="Missing","Missing evidence",IF(T68&gt;365,"Stale assessment",IF(COUNTIFS($B$2:$B$264,B68,$G$2:$G$264,G68)&gt;1,"Duplicate competency record",IF(INDEX(employees!$H$2:$H$37,MATCH(B68,employees!$A$2:$A$37,0))="Inactive","Inactive account","OK"))))</f>
        <v>Stale assessment</v>
      </c>
    </row>
    <row r="69" spans="1:23" ht="15" customHeight="1">
      <c r="A69" s="5" t="s">
        <v>298</v>
      </c>
      <c r="B69" s="16" t="s">
        <v>81</v>
      </c>
      <c r="C69" s="16" t="str">
        <f>IFERROR(INDEX(employees!$B$2:$B$37,MATCH(B69,employees!$A$2:$A$37,0)),"")</f>
        <v>Jordan Khan</v>
      </c>
      <c r="D69" s="16" t="str">
        <f>IFERROR(INDEX(employees!$C$2:$C$37,MATCH(B69,employees!$A$2:$A$37,0)),"")</f>
        <v>HVDC</v>
      </c>
      <c r="E69" s="16" t="str">
        <f>IFERROR(INDEX(employees!$D$2:$D$37,MATCH(B69,employees!$A$2:$A$37,0)),"")</f>
        <v>Data &amp; Reporting</v>
      </c>
      <c r="F69" s="16" t="str">
        <f>IFERROR(INDEX(employees!$E$2:$E$37,MATCH(B69,employees!$A$2:$A$37,0)),"")</f>
        <v>Senior Engineer</v>
      </c>
      <c r="G69" s="16" t="s">
        <v>160</v>
      </c>
      <c r="H69" s="16" t="str">
        <f>IFERROR(INDEX(competency_model!$C$2:$C$25,MATCH(G69,competency_model!$A$2:$A$25,0)),"")</f>
        <v>PowerPoint Presentation</v>
      </c>
      <c r="I69" s="16" t="str">
        <f>IFERROR(INDEX(competency_model!$D$2:$D$25,MATCH(G69,competency_model!$A$2:$A$25,0)),"")</f>
        <v>Leadership Storytelling</v>
      </c>
      <c r="J69" s="16">
        <f>IFERROR(INDEX(competency_model!$F$2:$F$25,MATCH(G69,competency_model!$A$2:$A$25,0)),"")</f>
        <v>3</v>
      </c>
      <c r="K69" s="16" t="str">
        <f>IFERROR(INDEX(competency_model!$G$2:$G$25,MATCH(G69,competency_model!$A$2:$A$25,0)),"")</f>
        <v>Medium</v>
      </c>
      <c r="L69" s="21">
        <v>1</v>
      </c>
      <c r="M69" s="21">
        <f t="shared" si="6"/>
        <v>2</v>
      </c>
      <c r="N69" s="16" t="str">
        <f t="shared" si="7"/>
        <v>Moderate</v>
      </c>
      <c r="O69" s="21">
        <f t="shared" si="8"/>
        <v>2</v>
      </c>
      <c r="P69" s="21">
        <f t="shared" si="9"/>
        <v>4</v>
      </c>
      <c r="Q69" s="16" t="str">
        <f t="shared" si="10"/>
        <v>Development Needed</v>
      </c>
      <c r="R69" s="16" t="s">
        <v>228</v>
      </c>
      <c r="S69" s="23">
        <v>46151.834679097221</v>
      </c>
      <c r="T69" s="25">
        <f t="shared" ca="1" si="11"/>
        <v>50.165320902779058</v>
      </c>
      <c r="U69" s="16" t="s">
        <v>223</v>
      </c>
      <c r="V69" s="16" t="s">
        <v>239</v>
      </c>
      <c r="W69" s="6" t="str">
        <f ca="1">IF(R69="Missing","Missing evidence",IF(T69&gt;365,"Stale assessment",IF(COUNTIFS($B$2:$B$264,B69,$G$2:$G$264,G69)&gt;1,"Duplicate competency record",IF(INDEX(employees!$H$2:$H$37,MATCH(B69,employees!$A$2:$A$37,0))="Inactive","Inactive account","OK"))))</f>
        <v>OK</v>
      </c>
    </row>
    <row r="70" spans="1:23" ht="15" customHeight="1">
      <c r="A70" s="5" t="s">
        <v>299</v>
      </c>
      <c r="B70" s="16" t="s">
        <v>81</v>
      </c>
      <c r="C70" s="16" t="str">
        <f>IFERROR(INDEX(employees!$B$2:$B$37,MATCH(B70,employees!$A$2:$A$37,0)),"")</f>
        <v>Jordan Khan</v>
      </c>
      <c r="D70" s="16" t="str">
        <f>IFERROR(INDEX(employees!$C$2:$C$37,MATCH(B70,employees!$A$2:$A$37,0)),"")</f>
        <v>HVDC</v>
      </c>
      <c r="E70" s="16" t="str">
        <f>IFERROR(INDEX(employees!$D$2:$D$37,MATCH(B70,employees!$A$2:$A$37,0)),"")</f>
        <v>Data &amp; Reporting</v>
      </c>
      <c r="F70" s="16" t="str">
        <f>IFERROR(INDEX(employees!$E$2:$E$37,MATCH(B70,employees!$A$2:$A$37,0)),"")</f>
        <v>Senior Engineer</v>
      </c>
      <c r="G70" s="16" t="s">
        <v>175</v>
      </c>
      <c r="H70" s="16" t="str">
        <f>IFERROR(INDEX(competency_model!$C$2:$C$25,MATCH(G70,competency_model!$A$2:$A$25,0)),"")</f>
        <v>Safety / Compliance</v>
      </c>
      <c r="I70" s="16" t="str">
        <f>IFERROR(INDEX(competency_model!$D$2:$D$25,MATCH(G70,competency_model!$A$2:$A$25,0)),"")</f>
        <v>Engineering Safety Awareness</v>
      </c>
      <c r="J70" s="16">
        <f>IFERROR(INDEX(competency_model!$F$2:$F$25,MATCH(G70,competency_model!$A$2:$A$25,0)),"")</f>
        <v>4</v>
      </c>
      <c r="K70" s="16" t="str">
        <f>IFERROR(INDEX(competency_model!$G$2:$G$25,MATCH(G70,competency_model!$A$2:$A$25,0)),"")</f>
        <v>High</v>
      </c>
      <c r="L70" s="21">
        <v>2</v>
      </c>
      <c r="M70" s="21">
        <f t="shared" si="6"/>
        <v>2</v>
      </c>
      <c r="N70" s="16" t="str">
        <f t="shared" si="7"/>
        <v>Moderate</v>
      </c>
      <c r="O70" s="21">
        <f t="shared" si="8"/>
        <v>3</v>
      </c>
      <c r="P70" s="21">
        <f t="shared" si="9"/>
        <v>6</v>
      </c>
      <c r="Q70" s="16" t="str">
        <f t="shared" si="10"/>
        <v>Development Needed</v>
      </c>
      <c r="R70" s="16" t="s">
        <v>222</v>
      </c>
      <c r="S70" s="23">
        <v>46153.033505023152</v>
      </c>
      <c r="T70" s="25">
        <f t="shared" ca="1" si="11"/>
        <v>48.96649497684848</v>
      </c>
      <c r="U70" s="16" t="s">
        <v>223</v>
      </c>
      <c r="V70" s="16"/>
      <c r="W70" s="6" t="str">
        <f>IF(R70="Missing","Missing evidence",IF(T70&gt;365,"Stale assessment",IF(COUNTIFS($B$2:$B$264,B70,$G$2:$G$264,G70)&gt;1,"Duplicate competency record",IF(INDEX(employees!$H$2:$H$37,MATCH(B70,employees!$A$2:$A$37,0))="Inactive","Inactive account","OK"))))</f>
        <v>Missing evidence</v>
      </c>
    </row>
    <row r="71" spans="1:23" ht="15" customHeight="1">
      <c r="A71" s="5" t="s">
        <v>300</v>
      </c>
      <c r="B71" s="16" t="s">
        <v>81</v>
      </c>
      <c r="C71" s="16" t="str">
        <f>IFERROR(INDEX(employees!$B$2:$B$37,MATCH(B71,employees!$A$2:$A$37,0)),"")</f>
        <v>Jordan Khan</v>
      </c>
      <c r="D71" s="16" t="str">
        <f>IFERROR(INDEX(employees!$C$2:$C$37,MATCH(B71,employees!$A$2:$A$37,0)),"")</f>
        <v>HVDC</v>
      </c>
      <c r="E71" s="16" t="str">
        <f>IFERROR(INDEX(employees!$D$2:$D$37,MATCH(B71,employees!$A$2:$A$37,0)),"")</f>
        <v>Data &amp; Reporting</v>
      </c>
      <c r="F71" s="16" t="str">
        <f>IFERROR(INDEX(employees!$E$2:$E$37,MATCH(B71,employees!$A$2:$A$37,0)),"")</f>
        <v>Senior Engineer</v>
      </c>
      <c r="G71" s="16" t="s">
        <v>144</v>
      </c>
      <c r="H71" s="16" t="str">
        <f>IFERROR(INDEX(competency_model!$C$2:$C$25,MATCH(G71,competency_model!$A$2:$A$25,0)),"")</f>
        <v>Data Analysis</v>
      </c>
      <c r="I71" s="16" t="str">
        <f>IFERROR(INDEX(competency_model!$D$2:$D$25,MATCH(G71,competency_model!$A$2:$A$25,0)),"")</f>
        <v>Excel Data Cleaning</v>
      </c>
      <c r="J71" s="16">
        <f>IFERROR(INDEX(competency_model!$F$2:$F$25,MATCH(G71,competency_model!$A$2:$A$25,0)),"")</f>
        <v>4</v>
      </c>
      <c r="K71" s="16" t="str">
        <f>IFERROR(INDEX(competency_model!$G$2:$G$25,MATCH(G71,competency_model!$A$2:$A$25,0)),"")</f>
        <v>High</v>
      </c>
      <c r="L71" s="21">
        <v>3</v>
      </c>
      <c r="M71" s="21">
        <f t="shared" si="6"/>
        <v>1</v>
      </c>
      <c r="N71" s="16" t="str">
        <f t="shared" si="7"/>
        <v>Minor</v>
      </c>
      <c r="O71" s="21">
        <f t="shared" si="8"/>
        <v>3</v>
      </c>
      <c r="P71" s="21">
        <f t="shared" si="9"/>
        <v>3</v>
      </c>
      <c r="Q71" s="16" t="str">
        <f t="shared" si="10"/>
        <v>Development Needed</v>
      </c>
      <c r="R71" s="16" t="s">
        <v>228</v>
      </c>
      <c r="S71" s="23">
        <v>46013.732479421298</v>
      </c>
      <c r="T71" s="25">
        <f t="shared" ca="1" si="11"/>
        <v>188.26752057870181</v>
      </c>
      <c r="U71" s="16" t="s">
        <v>223</v>
      </c>
      <c r="V71" s="16" t="s">
        <v>239</v>
      </c>
      <c r="W71" s="6" t="str">
        <f ca="1">IF(R71="Missing","Missing evidence",IF(T71&gt;365,"Stale assessment",IF(COUNTIFS($B$2:$B$264,B71,$G$2:$G$264,G71)&gt;1,"Duplicate competency record",IF(INDEX(employees!$H$2:$H$37,MATCH(B71,employees!$A$2:$A$37,0))="Inactive","Inactive account","OK"))))</f>
        <v>OK</v>
      </c>
    </row>
    <row r="72" spans="1:23" ht="15" customHeight="1">
      <c r="A72" s="5" t="s">
        <v>301</v>
      </c>
      <c r="B72" s="16" t="s">
        <v>81</v>
      </c>
      <c r="C72" s="16" t="str">
        <f>IFERROR(INDEX(employees!$B$2:$B$37,MATCH(B72,employees!$A$2:$A$37,0)),"")</f>
        <v>Jordan Khan</v>
      </c>
      <c r="D72" s="16" t="str">
        <f>IFERROR(INDEX(employees!$C$2:$C$37,MATCH(B72,employees!$A$2:$A$37,0)),"")</f>
        <v>HVDC</v>
      </c>
      <c r="E72" s="16" t="str">
        <f>IFERROR(INDEX(employees!$D$2:$D$37,MATCH(B72,employees!$A$2:$A$37,0)),"")</f>
        <v>Data &amp; Reporting</v>
      </c>
      <c r="F72" s="16" t="str">
        <f>IFERROR(INDEX(employees!$E$2:$E$37,MATCH(B72,employees!$A$2:$A$37,0)),"")</f>
        <v>Senior Engineer</v>
      </c>
      <c r="G72" s="16" t="s">
        <v>178</v>
      </c>
      <c r="H72" s="16" t="str">
        <f>IFERROR(INDEX(competency_model!$C$2:$C$25,MATCH(G72,competency_model!$A$2:$A$25,0)),"")</f>
        <v>Stakeholder Communication</v>
      </c>
      <c r="I72" s="16" t="str">
        <f>IFERROR(INDEX(competency_model!$D$2:$D$25,MATCH(G72,competency_model!$A$2:$A$25,0)),"")</f>
        <v>Non-Technical Explanation</v>
      </c>
      <c r="J72" s="16">
        <f>IFERROR(INDEX(competency_model!$F$2:$F$25,MATCH(G72,competency_model!$A$2:$A$25,0)),"")</f>
        <v>3</v>
      </c>
      <c r="K72" s="16" t="str">
        <f>IFERROR(INDEX(competency_model!$G$2:$G$25,MATCH(G72,competency_model!$A$2:$A$25,0)),"")</f>
        <v>Medium</v>
      </c>
      <c r="L72" s="21">
        <v>1</v>
      </c>
      <c r="M72" s="21">
        <f t="shared" si="6"/>
        <v>2</v>
      </c>
      <c r="N72" s="16" t="str">
        <f t="shared" si="7"/>
        <v>Moderate</v>
      </c>
      <c r="O72" s="21">
        <f t="shared" si="8"/>
        <v>2</v>
      </c>
      <c r="P72" s="21">
        <f t="shared" si="9"/>
        <v>4</v>
      </c>
      <c r="Q72" s="16" t="str">
        <f t="shared" si="10"/>
        <v>Development Needed</v>
      </c>
      <c r="R72" s="16" t="s">
        <v>222</v>
      </c>
      <c r="S72" s="23">
        <v>45966.00545636574</v>
      </c>
      <c r="T72" s="25">
        <f t="shared" ca="1" si="11"/>
        <v>235.99454363426048</v>
      </c>
      <c r="U72" s="16" t="s">
        <v>223</v>
      </c>
      <c r="V72" s="16" t="s">
        <v>231</v>
      </c>
      <c r="W72" s="6" t="str">
        <f>IF(R72="Missing","Missing evidence",IF(T72&gt;365,"Stale assessment",IF(COUNTIFS($B$2:$B$264,B72,$G$2:$G$264,G72)&gt;1,"Duplicate competency record",IF(INDEX(employees!$H$2:$H$37,MATCH(B72,employees!$A$2:$A$37,0))="Inactive","Inactive account","OK"))))</f>
        <v>Missing evidence</v>
      </c>
    </row>
    <row r="73" spans="1:23" ht="15" customHeight="1">
      <c r="A73" s="5" t="s">
        <v>302</v>
      </c>
      <c r="B73" s="16" t="s">
        <v>81</v>
      </c>
      <c r="C73" s="16" t="str">
        <f>IFERROR(INDEX(employees!$B$2:$B$37,MATCH(B73,employees!$A$2:$A$37,0)),"")</f>
        <v>Jordan Khan</v>
      </c>
      <c r="D73" s="16" t="str">
        <f>IFERROR(INDEX(employees!$C$2:$C$37,MATCH(B73,employees!$A$2:$A$37,0)),"")</f>
        <v>HVDC</v>
      </c>
      <c r="E73" s="16" t="str">
        <f>IFERROR(INDEX(employees!$D$2:$D$37,MATCH(B73,employees!$A$2:$A$37,0)),"")</f>
        <v>Data &amp; Reporting</v>
      </c>
      <c r="F73" s="16" t="str">
        <f>IFERROR(INDEX(employees!$E$2:$E$37,MATCH(B73,employees!$A$2:$A$37,0)),"")</f>
        <v>Senior Engineer</v>
      </c>
      <c r="G73" s="16" t="s">
        <v>154</v>
      </c>
      <c r="H73" s="16" t="str">
        <f>IFERROR(INDEX(competency_model!$C$2:$C$25,MATCH(G73,competency_model!$A$2:$A$25,0)),"")</f>
        <v>Excel Reporting</v>
      </c>
      <c r="I73" s="16" t="str">
        <f>IFERROR(INDEX(competency_model!$D$2:$D$25,MATCH(G73,competency_model!$A$2:$A$25,0)),"")</f>
        <v>PivotTables and Power Query</v>
      </c>
      <c r="J73" s="16">
        <f>IFERROR(INDEX(competency_model!$F$2:$F$25,MATCH(G73,competency_model!$A$2:$A$25,0)),"")</f>
        <v>4</v>
      </c>
      <c r="K73" s="16" t="str">
        <f>IFERROR(INDEX(competency_model!$G$2:$G$25,MATCH(G73,competency_model!$A$2:$A$25,0)),"")</f>
        <v>High</v>
      </c>
      <c r="L73" s="21">
        <v>1</v>
      </c>
      <c r="M73" s="21">
        <f t="shared" si="6"/>
        <v>3</v>
      </c>
      <c r="N73" s="16" t="str">
        <f t="shared" si="7"/>
        <v>Critical</v>
      </c>
      <c r="O73" s="21">
        <f t="shared" si="8"/>
        <v>3</v>
      </c>
      <c r="P73" s="21">
        <f t="shared" si="9"/>
        <v>9</v>
      </c>
      <c r="Q73" s="16" t="str">
        <f t="shared" si="10"/>
        <v>Development Needed</v>
      </c>
      <c r="R73" s="16" t="s">
        <v>228</v>
      </c>
      <c r="S73" s="23">
        <v>45833.171703877313</v>
      </c>
      <c r="T73" s="25">
        <f t="shared" ca="1" si="11"/>
        <v>368.82829612268688</v>
      </c>
      <c r="U73" s="16" t="s">
        <v>229</v>
      </c>
      <c r="V73" s="16"/>
      <c r="W73" s="6" t="str">
        <f ca="1">IF(R73="Missing","Missing evidence",IF(T73&gt;365,"Stale assessment",IF(COUNTIFS($B$2:$B$264,B73,$G$2:$G$264,G73)&gt;1,"Duplicate competency record",IF(INDEX(employees!$H$2:$H$37,MATCH(B73,employees!$A$2:$A$37,0))="Inactive","Inactive account","OK"))))</f>
        <v>Stale assessment</v>
      </c>
    </row>
    <row r="74" spans="1:23" ht="15" customHeight="1">
      <c r="A74" s="5" t="s">
        <v>303</v>
      </c>
      <c r="B74" s="16" t="s">
        <v>81</v>
      </c>
      <c r="C74" s="16" t="str">
        <f>IFERROR(INDEX(employees!$B$2:$B$37,MATCH(B74,employees!$A$2:$A$37,0)),"")</f>
        <v>Jordan Khan</v>
      </c>
      <c r="D74" s="16" t="str">
        <f>IFERROR(INDEX(employees!$C$2:$C$37,MATCH(B74,employees!$A$2:$A$37,0)),"")</f>
        <v>HVDC</v>
      </c>
      <c r="E74" s="16" t="str">
        <f>IFERROR(INDEX(employees!$D$2:$D$37,MATCH(B74,employees!$A$2:$A$37,0)),"")</f>
        <v>Data &amp; Reporting</v>
      </c>
      <c r="F74" s="16" t="str">
        <f>IFERROR(INDEX(employees!$E$2:$E$37,MATCH(B74,employees!$A$2:$A$37,0)),"")</f>
        <v>Senior Engineer</v>
      </c>
      <c r="G74" s="16" t="s">
        <v>192</v>
      </c>
      <c r="H74" s="16" t="str">
        <f>IFERROR(INDEX(competency_model!$C$2:$C$25,MATCH(G74,competency_model!$A$2:$A$25,0)),"")</f>
        <v>Data Quality</v>
      </c>
      <c r="I74" s="16" t="str">
        <f>IFERROR(INDEX(competency_model!$D$2:$D$25,MATCH(G74,competency_model!$A$2:$A$25,0)),"")</f>
        <v>Assessment Evidence Validation</v>
      </c>
      <c r="J74" s="16">
        <f>IFERROR(INDEX(competency_model!$F$2:$F$25,MATCH(G74,competency_model!$A$2:$A$25,0)),"")</f>
        <v>4</v>
      </c>
      <c r="K74" s="16" t="str">
        <f>IFERROR(INDEX(competency_model!$G$2:$G$25,MATCH(G74,competency_model!$A$2:$A$25,0)),"")</f>
        <v>High</v>
      </c>
      <c r="L74" s="21">
        <v>4</v>
      </c>
      <c r="M74" s="21">
        <f t="shared" si="6"/>
        <v>0</v>
      </c>
      <c r="N74" s="16" t="str">
        <f t="shared" si="7"/>
        <v>No Gap</v>
      </c>
      <c r="O74" s="21">
        <f t="shared" si="8"/>
        <v>3</v>
      </c>
      <c r="P74" s="21">
        <f t="shared" si="9"/>
        <v>0</v>
      </c>
      <c r="Q74" s="16" t="str">
        <f t="shared" si="10"/>
        <v>Ready</v>
      </c>
      <c r="R74" s="16" t="s">
        <v>222</v>
      </c>
      <c r="S74" s="23">
        <v>45989.628435543978</v>
      </c>
      <c r="T74" s="25">
        <f t="shared" ca="1" si="11"/>
        <v>212.37156445602159</v>
      </c>
      <c r="U74" s="16" t="s">
        <v>223</v>
      </c>
      <c r="V74" s="16" t="s">
        <v>231</v>
      </c>
      <c r="W74" s="6" t="str">
        <f>IF(R74="Missing","Missing evidence",IF(T74&gt;365,"Stale assessment",IF(COUNTIFS($B$2:$B$264,B74,$G$2:$G$264,G74)&gt;1,"Duplicate competency record",IF(INDEX(employees!$H$2:$H$37,MATCH(B74,employees!$A$2:$A$37,0))="Inactive","Inactive account","OK"))))</f>
        <v>Missing evidence</v>
      </c>
    </row>
    <row r="75" spans="1:23" ht="15" customHeight="1">
      <c r="A75" s="5" t="s">
        <v>304</v>
      </c>
      <c r="B75" s="16" t="s">
        <v>81</v>
      </c>
      <c r="C75" s="16" t="str">
        <f>IFERROR(INDEX(employees!$B$2:$B$37,MATCH(B75,employees!$A$2:$A$37,0)),"")</f>
        <v>Jordan Khan</v>
      </c>
      <c r="D75" s="16" t="str">
        <f>IFERROR(INDEX(employees!$C$2:$C$37,MATCH(B75,employees!$A$2:$A$37,0)),"")</f>
        <v>HVDC</v>
      </c>
      <c r="E75" s="16" t="str">
        <f>IFERROR(INDEX(employees!$D$2:$D$37,MATCH(B75,employees!$A$2:$A$37,0)),"")</f>
        <v>Data &amp; Reporting</v>
      </c>
      <c r="F75" s="16" t="str">
        <f>IFERROR(INDEX(employees!$E$2:$E$37,MATCH(B75,employees!$A$2:$A$37,0)),"")</f>
        <v>Senior Engineer</v>
      </c>
      <c r="G75" s="16" t="s">
        <v>202</v>
      </c>
      <c r="H75" s="16" t="str">
        <f>IFERROR(INDEX(competency_model!$C$2:$C$25,MATCH(G75,competency_model!$A$2:$A$25,0)),"")</f>
        <v>Tableau</v>
      </c>
      <c r="I75" s="16" t="str">
        <f>IFERROR(INDEX(competency_model!$D$2:$D$25,MATCH(G75,competency_model!$A$2:$A$25,0)),"")</f>
        <v>Dashboard Filtering and Actions</v>
      </c>
      <c r="J75" s="16">
        <f>IFERROR(INDEX(competency_model!$F$2:$F$25,MATCH(G75,competency_model!$A$2:$A$25,0)),"")</f>
        <v>3</v>
      </c>
      <c r="K75" s="16" t="str">
        <f>IFERROR(INDEX(competency_model!$G$2:$G$25,MATCH(G75,competency_model!$A$2:$A$25,0)),"")</f>
        <v>Medium</v>
      </c>
      <c r="L75" s="21">
        <v>3</v>
      </c>
      <c r="M75" s="21">
        <f t="shared" si="6"/>
        <v>0</v>
      </c>
      <c r="N75" s="16" t="str">
        <f t="shared" si="7"/>
        <v>No Gap</v>
      </c>
      <c r="O75" s="21">
        <f t="shared" si="8"/>
        <v>2</v>
      </c>
      <c r="P75" s="21">
        <f t="shared" si="9"/>
        <v>0</v>
      </c>
      <c r="Q75" s="16" t="str">
        <f t="shared" si="10"/>
        <v>Ready</v>
      </c>
      <c r="R75" s="16" t="s">
        <v>222</v>
      </c>
      <c r="S75" s="23">
        <v>46085.110878622683</v>
      </c>
      <c r="T75" s="25">
        <f t="shared" ca="1" si="11"/>
        <v>116.88912137731677</v>
      </c>
      <c r="U75" s="16" t="s">
        <v>229</v>
      </c>
      <c r="V75" s="16" t="s">
        <v>239</v>
      </c>
      <c r="W75" s="6" t="str">
        <f>IF(R75="Missing","Missing evidence",IF(T75&gt;365,"Stale assessment",IF(COUNTIFS($B$2:$B$264,B75,$G$2:$G$264,G75)&gt;1,"Duplicate competency record",IF(INDEX(employees!$H$2:$H$37,MATCH(B75,employees!$A$2:$A$37,0))="Inactive","Inactive account","OK"))))</f>
        <v>Missing evidence</v>
      </c>
    </row>
    <row r="76" spans="1:23" ht="15" customHeight="1">
      <c r="A76" s="5" t="s">
        <v>305</v>
      </c>
      <c r="B76" s="16" t="s">
        <v>84</v>
      </c>
      <c r="C76" s="16" t="str">
        <f>IFERROR(INDEX(employees!$B$2:$B$37,MATCH(B76,employees!$A$2:$A$37,0)),"")</f>
        <v>Casey Walker</v>
      </c>
      <c r="D76" s="16" t="str">
        <f>IFERROR(INDEX(employees!$C$2:$C$37,MATCH(B76,employees!$A$2:$A$37,0)),"")</f>
        <v>Systems Engineering</v>
      </c>
      <c r="E76" s="16" t="str">
        <f>IFERROR(INDEX(employees!$D$2:$D$37,MATCH(B76,employees!$A$2:$A$37,0)),"")</f>
        <v>Software Engineering</v>
      </c>
      <c r="F76" s="16" t="str">
        <f>IFERROR(INDEX(employees!$E$2:$E$37,MATCH(B76,employees!$A$2:$A$37,0)),"")</f>
        <v>Graduate</v>
      </c>
      <c r="G76" s="16" t="s">
        <v>178</v>
      </c>
      <c r="H76" s="16" t="str">
        <f>IFERROR(INDEX(competency_model!$C$2:$C$25,MATCH(G76,competency_model!$A$2:$A$25,0)),"")</f>
        <v>Stakeholder Communication</v>
      </c>
      <c r="I76" s="16" t="str">
        <f>IFERROR(INDEX(competency_model!$D$2:$D$25,MATCH(G76,competency_model!$A$2:$A$25,0)),"")</f>
        <v>Non-Technical Explanation</v>
      </c>
      <c r="J76" s="16">
        <f>IFERROR(INDEX(competency_model!$F$2:$F$25,MATCH(G76,competency_model!$A$2:$A$25,0)),"")</f>
        <v>3</v>
      </c>
      <c r="K76" s="16" t="str">
        <f>IFERROR(INDEX(competency_model!$G$2:$G$25,MATCH(G76,competency_model!$A$2:$A$25,0)),"")</f>
        <v>Medium</v>
      </c>
      <c r="L76" s="21">
        <v>1</v>
      </c>
      <c r="M76" s="21">
        <f t="shared" si="6"/>
        <v>2</v>
      </c>
      <c r="N76" s="16" t="str">
        <f t="shared" si="7"/>
        <v>Moderate</v>
      </c>
      <c r="O76" s="21">
        <f t="shared" si="8"/>
        <v>2</v>
      </c>
      <c r="P76" s="21">
        <f t="shared" si="9"/>
        <v>4</v>
      </c>
      <c r="Q76" s="16" t="str">
        <f t="shared" si="10"/>
        <v>Development Needed</v>
      </c>
      <c r="R76" s="16" t="s">
        <v>222</v>
      </c>
      <c r="S76" s="23">
        <v>46113.495472002316</v>
      </c>
      <c r="T76" s="25">
        <f t="shared" ca="1" si="11"/>
        <v>88.504527997683908</v>
      </c>
      <c r="U76" s="16" t="s">
        <v>229</v>
      </c>
      <c r="V76" s="16" t="s">
        <v>226</v>
      </c>
      <c r="W76" s="6" t="str">
        <f>IF(R76="Missing","Missing evidence",IF(T76&gt;365,"Stale assessment",IF(COUNTIFS($B$2:$B$264,B76,$G$2:$G$264,G76)&gt;1,"Duplicate competency record",IF(INDEX(employees!$H$2:$H$37,MATCH(B76,employees!$A$2:$A$37,0))="Inactive","Inactive account","OK"))))</f>
        <v>Missing evidence</v>
      </c>
    </row>
    <row r="77" spans="1:23" ht="15" customHeight="1">
      <c r="A77" s="5" t="s">
        <v>306</v>
      </c>
      <c r="B77" s="16" t="s">
        <v>84</v>
      </c>
      <c r="C77" s="16" t="str">
        <f>IFERROR(INDEX(employees!$B$2:$B$37,MATCH(B77,employees!$A$2:$A$37,0)),"")</f>
        <v>Casey Walker</v>
      </c>
      <c r="D77" s="16" t="str">
        <f>IFERROR(INDEX(employees!$C$2:$C$37,MATCH(B77,employees!$A$2:$A$37,0)),"")</f>
        <v>Systems Engineering</v>
      </c>
      <c r="E77" s="16" t="str">
        <f>IFERROR(INDEX(employees!$D$2:$D$37,MATCH(B77,employees!$A$2:$A$37,0)),"")</f>
        <v>Software Engineering</v>
      </c>
      <c r="F77" s="16" t="str">
        <f>IFERROR(INDEX(employees!$E$2:$E$37,MATCH(B77,employees!$A$2:$A$37,0)),"")</f>
        <v>Graduate</v>
      </c>
      <c r="G77" s="16" t="s">
        <v>189</v>
      </c>
      <c r="H77" s="16" t="str">
        <f>IFERROR(INDEX(competency_model!$C$2:$C$25,MATCH(G77,competency_model!$A$2:$A$25,0)),"")</f>
        <v>Data Quality</v>
      </c>
      <c r="I77" s="16" t="str">
        <f>IFERROR(INDEX(competency_model!$D$2:$D$25,MATCH(G77,competency_model!$A$2:$A$25,0)),"")</f>
        <v>Duplicate and Missing Value Checks</v>
      </c>
      <c r="J77" s="16">
        <f>IFERROR(INDEX(competency_model!$F$2:$F$25,MATCH(G77,competency_model!$A$2:$A$25,0)),"")</f>
        <v>4</v>
      </c>
      <c r="K77" s="16" t="str">
        <f>IFERROR(INDEX(competency_model!$G$2:$G$25,MATCH(G77,competency_model!$A$2:$A$25,0)),"")</f>
        <v>High</v>
      </c>
      <c r="L77" s="21">
        <v>3</v>
      </c>
      <c r="M77" s="21">
        <f t="shared" si="6"/>
        <v>1</v>
      </c>
      <c r="N77" s="16" t="str">
        <f t="shared" si="7"/>
        <v>Minor</v>
      </c>
      <c r="O77" s="21">
        <f t="shared" si="8"/>
        <v>3</v>
      </c>
      <c r="P77" s="21">
        <f t="shared" si="9"/>
        <v>3</v>
      </c>
      <c r="Q77" s="16" t="str">
        <f t="shared" si="10"/>
        <v>Development Needed</v>
      </c>
      <c r="R77" s="16" t="s">
        <v>225</v>
      </c>
      <c r="S77" s="23">
        <v>45962.180792187501</v>
      </c>
      <c r="T77" s="25">
        <f t="shared" ca="1" si="11"/>
        <v>239.81920781249937</v>
      </c>
      <c r="U77" s="16" t="s">
        <v>229</v>
      </c>
      <c r="V77" s="16" t="s">
        <v>233</v>
      </c>
      <c r="W77" s="6" t="str">
        <f ca="1">IF(R77="Missing","Missing evidence",IF(T77&gt;365,"Stale assessment",IF(COUNTIFS($B$2:$B$264,B77,$G$2:$G$264,G77)&gt;1,"Duplicate competency record",IF(INDEX(employees!$H$2:$H$37,MATCH(B77,employees!$A$2:$A$37,0))="Inactive","Inactive account","OK"))))</f>
        <v>OK</v>
      </c>
    </row>
    <row r="78" spans="1:23" ht="15" customHeight="1">
      <c r="A78" s="5" t="s">
        <v>307</v>
      </c>
      <c r="B78" s="16" t="s">
        <v>84</v>
      </c>
      <c r="C78" s="16" t="str">
        <f>IFERROR(INDEX(employees!$B$2:$B$37,MATCH(B78,employees!$A$2:$A$37,0)),"")</f>
        <v>Casey Walker</v>
      </c>
      <c r="D78" s="16" t="str">
        <f>IFERROR(INDEX(employees!$C$2:$C$37,MATCH(B78,employees!$A$2:$A$37,0)),"")</f>
        <v>Systems Engineering</v>
      </c>
      <c r="E78" s="16" t="str">
        <f>IFERROR(INDEX(employees!$D$2:$D$37,MATCH(B78,employees!$A$2:$A$37,0)),"")</f>
        <v>Software Engineering</v>
      </c>
      <c r="F78" s="16" t="str">
        <f>IFERROR(INDEX(employees!$E$2:$E$37,MATCH(B78,employees!$A$2:$A$37,0)),"")</f>
        <v>Graduate</v>
      </c>
      <c r="G78" s="16" t="s">
        <v>149</v>
      </c>
      <c r="H78" s="16" t="str">
        <f>IFERROR(INDEX(competency_model!$C$2:$C$25,MATCH(G78,competency_model!$A$2:$A$25,0)),"")</f>
        <v>Data Analysis</v>
      </c>
      <c r="I78" s="16" t="str">
        <f>IFERROR(INDEX(competency_model!$D$2:$D$25,MATCH(G78,competency_model!$A$2:$A$25,0)),"")</f>
        <v>Python Data Cleaning</v>
      </c>
      <c r="J78" s="16">
        <f>IFERROR(INDEX(competency_model!$F$2:$F$25,MATCH(G78,competency_model!$A$2:$A$25,0)),"")</f>
        <v>4</v>
      </c>
      <c r="K78" s="16" t="str">
        <f>IFERROR(INDEX(competency_model!$G$2:$G$25,MATCH(G78,competency_model!$A$2:$A$25,0)),"")</f>
        <v>High</v>
      </c>
      <c r="L78" s="21">
        <v>4</v>
      </c>
      <c r="M78" s="21">
        <f t="shared" si="6"/>
        <v>0</v>
      </c>
      <c r="N78" s="16" t="str">
        <f t="shared" si="7"/>
        <v>No Gap</v>
      </c>
      <c r="O78" s="21">
        <f t="shared" si="8"/>
        <v>3</v>
      </c>
      <c r="P78" s="21">
        <f t="shared" si="9"/>
        <v>0</v>
      </c>
      <c r="Q78" s="16" t="str">
        <f t="shared" si="10"/>
        <v>Ready</v>
      </c>
      <c r="R78" s="16" t="s">
        <v>225</v>
      </c>
      <c r="S78" s="23">
        <v>46145.214622777778</v>
      </c>
      <c r="T78" s="25">
        <f t="shared" ca="1" si="11"/>
        <v>56.785377222222451</v>
      </c>
      <c r="U78" s="16" t="s">
        <v>223</v>
      </c>
      <c r="V78" s="16" t="s">
        <v>231</v>
      </c>
      <c r="W78" s="6" t="str">
        <f ca="1">IF(R78="Missing","Missing evidence",IF(T78&gt;365,"Stale assessment",IF(COUNTIFS($B$2:$B$264,B78,$G$2:$G$264,G78)&gt;1,"Duplicate competency record",IF(INDEX(employees!$H$2:$H$37,MATCH(B78,employees!$A$2:$A$37,0))="Inactive","Inactive account","OK"))))</f>
        <v>OK</v>
      </c>
    </row>
    <row r="79" spans="1:23" ht="15" customHeight="1">
      <c r="A79" s="5" t="s">
        <v>308</v>
      </c>
      <c r="B79" s="16" t="s">
        <v>84</v>
      </c>
      <c r="C79" s="16" t="str">
        <f>IFERROR(INDEX(employees!$B$2:$B$37,MATCH(B79,employees!$A$2:$A$37,0)),"")</f>
        <v>Casey Walker</v>
      </c>
      <c r="D79" s="16" t="str">
        <f>IFERROR(INDEX(employees!$C$2:$C$37,MATCH(B79,employees!$A$2:$A$37,0)),"")</f>
        <v>Systems Engineering</v>
      </c>
      <c r="E79" s="16" t="str">
        <f>IFERROR(INDEX(employees!$D$2:$D$37,MATCH(B79,employees!$A$2:$A$37,0)),"")</f>
        <v>Software Engineering</v>
      </c>
      <c r="F79" s="16" t="str">
        <f>IFERROR(INDEX(employees!$E$2:$E$37,MATCH(B79,employees!$A$2:$A$37,0)),"")</f>
        <v>Graduate</v>
      </c>
      <c r="G79" s="16" t="s">
        <v>163</v>
      </c>
      <c r="H79" s="16" t="str">
        <f>IFERROR(INDEX(competency_model!$C$2:$C$25,MATCH(G79,competency_model!$A$2:$A$25,0)),"")</f>
        <v>Engineering Documentation</v>
      </c>
      <c r="I79" s="16" t="str">
        <f>IFERROR(INDEX(competency_model!$D$2:$D$25,MATCH(G79,competency_model!$A$2:$A$25,0)),"")</f>
        <v>Technical Documentation</v>
      </c>
      <c r="J79" s="16">
        <f>IFERROR(INDEX(competency_model!$F$2:$F$25,MATCH(G79,competency_model!$A$2:$A$25,0)),"")</f>
        <v>4</v>
      </c>
      <c r="K79" s="16" t="str">
        <f>IFERROR(INDEX(competency_model!$G$2:$G$25,MATCH(G79,competency_model!$A$2:$A$25,0)),"")</f>
        <v>High</v>
      </c>
      <c r="L79" s="21">
        <v>2</v>
      </c>
      <c r="M79" s="21">
        <f t="shared" si="6"/>
        <v>2</v>
      </c>
      <c r="N79" s="16" t="str">
        <f t="shared" si="7"/>
        <v>Moderate</v>
      </c>
      <c r="O79" s="21">
        <f t="shared" si="8"/>
        <v>3</v>
      </c>
      <c r="P79" s="21">
        <f t="shared" si="9"/>
        <v>6</v>
      </c>
      <c r="Q79" s="16" t="str">
        <f t="shared" si="10"/>
        <v>Development Needed</v>
      </c>
      <c r="R79" s="16" t="s">
        <v>228</v>
      </c>
      <c r="S79" s="23">
        <v>46168.852721203701</v>
      </c>
      <c r="T79" s="25">
        <f t="shared" ca="1" si="11"/>
        <v>33.147278796299361</v>
      </c>
      <c r="U79" s="16" t="s">
        <v>223</v>
      </c>
      <c r="V79" s="16"/>
      <c r="W79" s="6" t="str">
        <f ca="1">IF(R79="Missing","Missing evidence",IF(T79&gt;365,"Stale assessment",IF(COUNTIFS($B$2:$B$264,B79,$G$2:$G$264,G79)&gt;1,"Duplicate competency record",IF(INDEX(employees!$H$2:$H$37,MATCH(B79,employees!$A$2:$A$37,0))="Inactive","Inactive account","OK"))))</f>
        <v>OK</v>
      </c>
    </row>
    <row r="80" spans="1:23" ht="15" customHeight="1">
      <c r="A80" s="5" t="s">
        <v>309</v>
      </c>
      <c r="B80" s="16" t="s">
        <v>84</v>
      </c>
      <c r="C80" s="16" t="str">
        <f>IFERROR(INDEX(employees!$B$2:$B$37,MATCH(B80,employees!$A$2:$A$37,0)),"")</f>
        <v>Casey Walker</v>
      </c>
      <c r="D80" s="16" t="str">
        <f>IFERROR(INDEX(employees!$C$2:$C$37,MATCH(B80,employees!$A$2:$A$37,0)),"")</f>
        <v>Systems Engineering</v>
      </c>
      <c r="E80" s="16" t="str">
        <f>IFERROR(INDEX(employees!$D$2:$D$37,MATCH(B80,employees!$A$2:$A$37,0)),"")</f>
        <v>Software Engineering</v>
      </c>
      <c r="F80" s="16" t="str">
        <f>IFERROR(INDEX(employees!$E$2:$E$37,MATCH(B80,employees!$A$2:$A$37,0)),"")</f>
        <v>Graduate</v>
      </c>
      <c r="G80" s="16" t="s">
        <v>186</v>
      </c>
      <c r="H80" s="16" t="str">
        <f>IFERROR(INDEX(competency_model!$C$2:$C$25,MATCH(G80,competency_model!$A$2:$A$25,0)),"")</f>
        <v>Software Tools</v>
      </c>
      <c r="I80" s="16" t="str">
        <f>IFERROR(INDEX(competency_model!$D$2:$D$25,MATCH(G80,competency_model!$A$2:$A$25,0)),"")</f>
        <v>Version Control with Git</v>
      </c>
      <c r="J80" s="16">
        <f>IFERROR(INDEX(competency_model!$F$2:$F$25,MATCH(G80,competency_model!$A$2:$A$25,0)),"")</f>
        <v>3</v>
      </c>
      <c r="K80" s="16" t="str">
        <f>IFERROR(INDEX(competency_model!$G$2:$G$25,MATCH(G80,competency_model!$A$2:$A$25,0)),"")</f>
        <v>Medium</v>
      </c>
      <c r="L80" s="21">
        <v>1</v>
      </c>
      <c r="M80" s="21">
        <f t="shared" si="6"/>
        <v>2</v>
      </c>
      <c r="N80" s="16" t="str">
        <f t="shared" si="7"/>
        <v>Moderate</v>
      </c>
      <c r="O80" s="21">
        <f t="shared" si="8"/>
        <v>2</v>
      </c>
      <c r="P80" s="21">
        <f t="shared" si="9"/>
        <v>4</v>
      </c>
      <c r="Q80" s="16" t="str">
        <f t="shared" si="10"/>
        <v>Development Needed</v>
      </c>
      <c r="R80" s="16" t="s">
        <v>225</v>
      </c>
      <c r="S80" s="23">
        <v>46125.182671620372</v>
      </c>
      <c r="T80" s="25">
        <f t="shared" ca="1" si="11"/>
        <v>76.817328379627725</v>
      </c>
      <c r="U80" s="16" t="s">
        <v>223</v>
      </c>
      <c r="V80" s="16" t="s">
        <v>231</v>
      </c>
      <c r="W80" s="6" t="str">
        <f ca="1">IF(R80="Missing","Missing evidence",IF(T80&gt;365,"Stale assessment",IF(COUNTIFS($B$2:$B$264,B80,$G$2:$G$264,G80)&gt;1,"Duplicate competency record",IF(INDEX(employees!$H$2:$H$37,MATCH(B80,employees!$A$2:$A$37,0))="Inactive","Inactive account","OK"))))</f>
        <v>OK</v>
      </c>
    </row>
    <row r="81" spans="1:23" ht="15" customHeight="1">
      <c r="A81" s="5" t="s">
        <v>310</v>
      </c>
      <c r="B81" s="16" t="s">
        <v>84</v>
      </c>
      <c r="C81" s="16" t="str">
        <f>IFERROR(INDEX(employees!$B$2:$B$37,MATCH(B81,employees!$A$2:$A$37,0)),"")</f>
        <v>Casey Walker</v>
      </c>
      <c r="D81" s="16" t="str">
        <f>IFERROR(INDEX(employees!$C$2:$C$37,MATCH(B81,employees!$A$2:$A$37,0)),"")</f>
        <v>Systems Engineering</v>
      </c>
      <c r="E81" s="16" t="str">
        <f>IFERROR(INDEX(employees!$D$2:$D$37,MATCH(B81,employees!$A$2:$A$37,0)),"")</f>
        <v>Software Engineering</v>
      </c>
      <c r="F81" s="16" t="str">
        <f>IFERROR(INDEX(employees!$E$2:$E$37,MATCH(B81,employees!$A$2:$A$37,0)),"")</f>
        <v>Graduate</v>
      </c>
      <c r="G81" s="16" t="s">
        <v>197</v>
      </c>
      <c r="H81" s="16" t="str">
        <f>IFERROR(INDEX(competency_model!$C$2:$C$25,MATCH(G81,competency_model!$A$2:$A$25,0)),"")</f>
        <v>User Support</v>
      </c>
      <c r="I81" s="16" t="str">
        <f>IFERROR(INDEX(competency_model!$D$2:$D$25,MATCH(G81,competency_model!$A$2:$A$25,0)),"")</f>
        <v>Competency Tool User Support</v>
      </c>
      <c r="J81" s="16">
        <f>IFERROR(INDEX(competency_model!$F$2:$F$25,MATCH(G81,competency_model!$A$2:$A$25,0)),"")</f>
        <v>3</v>
      </c>
      <c r="K81" s="16" t="str">
        <f>IFERROR(INDEX(competency_model!$G$2:$G$25,MATCH(G81,competency_model!$A$2:$A$25,0)),"")</f>
        <v>Medium</v>
      </c>
      <c r="L81" s="21">
        <v>1</v>
      </c>
      <c r="M81" s="21">
        <f t="shared" si="6"/>
        <v>2</v>
      </c>
      <c r="N81" s="16" t="str">
        <f t="shared" si="7"/>
        <v>Moderate</v>
      </c>
      <c r="O81" s="21">
        <f t="shared" si="8"/>
        <v>2</v>
      </c>
      <c r="P81" s="21">
        <f t="shared" si="9"/>
        <v>4</v>
      </c>
      <c r="Q81" s="16" t="str">
        <f t="shared" si="10"/>
        <v>Development Needed</v>
      </c>
      <c r="R81" s="16" t="s">
        <v>228</v>
      </c>
      <c r="S81" s="23">
        <v>46155.398061238426</v>
      </c>
      <c r="T81" s="25">
        <f t="shared" ca="1" si="11"/>
        <v>46.601938761574274</v>
      </c>
      <c r="U81" s="16" t="s">
        <v>223</v>
      </c>
      <c r="V81" s="16" t="s">
        <v>226</v>
      </c>
      <c r="W81" s="6" t="str">
        <f ca="1">IF(R81="Missing","Missing evidence",IF(T81&gt;365,"Stale assessment",IF(COUNTIFS($B$2:$B$264,B81,$G$2:$G$264,G81)&gt;1,"Duplicate competency record",IF(INDEX(employees!$H$2:$H$37,MATCH(B81,employees!$A$2:$A$37,0))="Inactive","Inactive account","OK"))))</f>
        <v>OK</v>
      </c>
    </row>
    <row r="82" spans="1:23" ht="15" customHeight="1">
      <c r="A82" s="5" t="s">
        <v>311</v>
      </c>
      <c r="B82" s="16" t="s">
        <v>84</v>
      </c>
      <c r="C82" s="16" t="str">
        <f>IFERROR(INDEX(employees!$B$2:$B$37,MATCH(B82,employees!$A$2:$A$37,0)),"")</f>
        <v>Casey Walker</v>
      </c>
      <c r="D82" s="16" t="str">
        <f>IFERROR(INDEX(employees!$C$2:$C$37,MATCH(B82,employees!$A$2:$A$37,0)),"")</f>
        <v>Systems Engineering</v>
      </c>
      <c r="E82" s="16" t="str">
        <f>IFERROR(INDEX(employees!$D$2:$D$37,MATCH(B82,employees!$A$2:$A$37,0)),"")</f>
        <v>Software Engineering</v>
      </c>
      <c r="F82" s="16" t="str">
        <f>IFERROR(INDEX(employees!$E$2:$E$37,MATCH(B82,employees!$A$2:$A$37,0)),"")</f>
        <v>Graduate</v>
      </c>
      <c r="G82" s="16" t="s">
        <v>160</v>
      </c>
      <c r="H82" s="16" t="str">
        <f>IFERROR(INDEX(competency_model!$C$2:$C$25,MATCH(G82,competency_model!$A$2:$A$25,0)),"")</f>
        <v>PowerPoint Presentation</v>
      </c>
      <c r="I82" s="16" t="str">
        <f>IFERROR(INDEX(competency_model!$D$2:$D$25,MATCH(G82,competency_model!$A$2:$A$25,0)),"")</f>
        <v>Leadership Storytelling</v>
      </c>
      <c r="J82" s="16">
        <f>IFERROR(INDEX(competency_model!$F$2:$F$25,MATCH(G82,competency_model!$A$2:$A$25,0)),"")</f>
        <v>3</v>
      </c>
      <c r="K82" s="16" t="str">
        <f>IFERROR(INDEX(competency_model!$G$2:$G$25,MATCH(G82,competency_model!$A$2:$A$25,0)),"")</f>
        <v>Medium</v>
      </c>
      <c r="L82" s="21">
        <v>1</v>
      </c>
      <c r="M82" s="21">
        <f t="shared" si="6"/>
        <v>2</v>
      </c>
      <c r="N82" s="16" t="str">
        <f t="shared" si="7"/>
        <v>Moderate</v>
      </c>
      <c r="O82" s="21">
        <f t="shared" si="8"/>
        <v>2</v>
      </c>
      <c r="P82" s="21">
        <f t="shared" si="9"/>
        <v>4</v>
      </c>
      <c r="Q82" s="16" t="str">
        <f t="shared" si="10"/>
        <v>Development Needed</v>
      </c>
      <c r="R82" s="16" t="s">
        <v>222</v>
      </c>
      <c r="S82" s="23">
        <v>46085.643530543981</v>
      </c>
      <c r="T82" s="25">
        <f t="shared" ca="1" si="11"/>
        <v>116.35646945601911</v>
      </c>
      <c r="U82" s="16" t="s">
        <v>229</v>
      </c>
      <c r="V82" s="16" t="s">
        <v>233</v>
      </c>
      <c r="W82" s="6" t="str">
        <f>IF(R82="Missing","Missing evidence",IF(T82&gt;365,"Stale assessment",IF(COUNTIFS($B$2:$B$264,B82,$G$2:$G$264,G82)&gt;1,"Duplicate competency record",IF(INDEX(employees!$H$2:$H$37,MATCH(B82,employees!$A$2:$A$37,0))="Inactive","Inactive account","OK"))))</f>
        <v>Missing evidence</v>
      </c>
    </row>
    <row r="83" spans="1:23" ht="15" customHeight="1">
      <c r="A83" s="5" t="s">
        <v>312</v>
      </c>
      <c r="B83" s="16" t="s">
        <v>84</v>
      </c>
      <c r="C83" s="16" t="str">
        <f>IFERROR(INDEX(employees!$B$2:$B$37,MATCH(B83,employees!$A$2:$A$37,0)),"")</f>
        <v>Casey Walker</v>
      </c>
      <c r="D83" s="16" t="str">
        <f>IFERROR(INDEX(employees!$C$2:$C$37,MATCH(B83,employees!$A$2:$A$37,0)),"")</f>
        <v>Systems Engineering</v>
      </c>
      <c r="E83" s="16" t="str">
        <f>IFERROR(INDEX(employees!$D$2:$D$37,MATCH(B83,employees!$A$2:$A$37,0)),"")</f>
        <v>Software Engineering</v>
      </c>
      <c r="F83" s="16" t="str">
        <f>IFERROR(INDEX(employees!$E$2:$E$37,MATCH(B83,employees!$A$2:$A$37,0)),"")</f>
        <v>Graduate</v>
      </c>
      <c r="G83" s="16" t="s">
        <v>183</v>
      </c>
      <c r="H83" s="16" t="str">
        <f>IFERROR(INDEX(competency_model!$C$2:$C$25,MATCH(G83,competency_model!$A$2:$A$25,0)),"")</f>
        <v>Python</v>
      </c>
      <c r="I83" s="16" t="str">
        <f>IFERROR(INDEX(competency_model!$D$2:$D$25,MATCH(G83,competency_model!$A$2:$A$25,0)),"")</f>
        <v>Automation Scripting</v>
      </c>
      <c r="J83" s="16">
        <f>IFERROR(INDEX(competency_model!$F$2:$F$25,MATCH(G83,competency_model!$A$2:$A$25,0)),"")</f>
        <v>3</v>
      </c>
      <c r="K83" s="16" t="str">
        <f>IFERROR(INDEX(competency_model!$G$2:$G$25,MATCH(G83,competency_model!$A$2:$A$25,0)),"")</f>
        <v>Medium</v>
      </c>
      <c r="L83" s="21">
        <v>3</v>
      </c>
      <c r="M83" s="21">
        <f t="shared" si="6"/>
        <v>0</v>
      </c>
      <c r="N83" s="16" t="str">
        <f t="shared" si="7"/>
        <v>No Gap</v>
      </c>
      <c r="O83" s="21">
        <f t="shared" si="8"/>
        <v>2</v>
      </c>
      <c r="P83" s="21">
        <f t="shared" si="9"/>
        <v>0</v>
      </c>
      <c r="Q83" s="16" t="str">
        <f t="shared" si="10"/>
        <v>Ready</v>
      </c>
      <c r="R83" s="16" t="s">
        <v>228</v>
      </c>
      <c r="S83" s="23">
        <v>45728.040622696761</v>
      </c>
      <c r="T83" s="25">
        <f t="shared" ca="1" si="11"/>
        <v>473.95937730323931</v>
      </c>
      <c r="U83" s="16" t="s">
        <v>223</v>
      </c>
      <c r="V83" s="16"/>
      <c r="W83" s="6" t="str">
        <f ca="1">IF(R83="Missing","Missing evidence",IF(T83&gt;365,"Stale assessment",IF(COUNTIFS($B$2:$B$264,B83,$G$2:$G$264,G83)&gt;1,"Duplicate competency record",IF(INDEX(employees!$H$2:$H$37,MATCH(B83,employees!$A$2:$A$37,0))="Inactive","Inactive account","OK"))))</f>
        <v>Stale assessment</v>
      </c>
    </row>
    <row r="84" spans="1:23" ht="15" customHeight="1">
      <c r="A84" s="5" t="s">
        <v>313</v>
      </c>
      <c r="B84" s="16" t="s">
        <v>87</v>
      </c>
      <c r="C84" s="16" t="str">
        <f>IFERROR(INDEX(employees!$B$2:$B$37,MATCH(B84,employees!$A$2:$A$37,0)),"")</f>
        <v>Morgan Khan</v>
      </c>
      <c r="D84" s="16" t="str">
        <f>IFERROR(INDEX(employees!$C$2:$C$37,MATCH(B84,employees!$A$2:$A$37,0)),"")</f>
        <v>Systems Engineering</v>
      </c>
      <c r="E84" s="16" t="str">
        <f>IFERROR(INDEX(employees!$D$2:$D$37,MATCH(B84,employees!$A$2:$A$37,0)),"")</f>
        <v>Testing &amp; Validation</v>
      </c>
      <c r="F84" s="16" t="str">
        <f>IFERROR(INDEX(employees!$E$2:$E$37,MATCH(B84,employees!$A$2:$A$37,0)),"")</f>
        <v>Lead Engineer</v>
      </c>
      <c r="G84" s="16" t="s">
        <v>154</v>
      </c>
      <c r="H84" s="16" t="str">
        <f>IFERROR(INDEX(competency_model!$C$2:$C$25,MATCH(G84,competency_model!$A$2:$A$25,0)),"")</f>
        <v>Excel Reporting</v>
      </c>
      <c r="I84" s="16" t="str">
        <f>IFERROR(INDEX(competency_model!$D$2:$D$25,MATCH(G84,competency_model!$A$2:$A$25,0)),"")</f>
        <v>PivotTables and Power Query</v>
      </c>
      <c r="J84" s="16">
        <f>IFERROR(INDEX(competency_model!$F$2:$F$25,MATCH(G84,competency_model!$A$2:$A$25,0)),"")</f>
        <v>4</v>
      </c>
      <c r="K84" s="16" t="str">
        <f>IFERROR(INDEX(competency_model!$G$2:$G$25,MATCH(G84,competency_model!$A$2:$A$25,0)),"")</f>
        <v>High</v>
      </c>
      <c r="L84" s="21">
        <v>1</v>
      </c>
      <c r="M84" s="21">
        <f t="shared" si="6"/>
        <v>3</v>
      </c>
      <c r="N84" s="16" t="str">
        <f t="shared" si="7"/>
        <v>Critical</v>
      </c>
      <c r="O84" s="21">
        <f t="shared" si="8"/>
        <v>3</v>
      </c>
      <c r="P84" s="21">
        <f t="shared" si="9"/>
        <v>9</v>
      </c>
      <c r="Q84" s="16" t="str">
        <f t="shared" si="10"/>
        <v>Development Needed</v>
      </c>
      <c r="R84" s="16" t="s">
        <v>225</v>
      </c>
      <c r="S84" s="23">
        <v>46060.063610370373</v>
      </c>
      <c r="T84" s="25">
        <f t="shared" ca="1" si="11"/>
        <v>141.93638962962723</v>
      </c>
      <c r="U84" s="16" t="s">
        <v>223</v>
      </c>
      <c r="V84" s="16" t="s">
        <v>239</v>
      </c>
      <c r="W84" s="6" t="str">
        <f ca="1">IF(R84="Missing","Missing evidence",IF(T84&gt;365,"Stale assessment",IF(COUNTIFS($B$2:$B$264,B84,$G$2:$G$264,G84)&gt;1,"Duplicate competency record",IF(INDEX(employees!$H$2:$H$37,MATCH(B84,employees!$A$2:$A$37,0))="Inactive","Inactive account","OK"))))</f>
        <v>OK</v>
      </c>
    </row>
    <row r="85" spans="1:23" ht="15" customHeight="1">
      <c r="A85" s="5" t="s">
        <v>314</v>
      </c>
      <c r="B85" s="16" t="s">
        <v>87</v>
      </c>
      <c r="C85" s="16" t="str">
        <f>IFERROR(INDEX(employees!$B$2:$B$37,MATCH(B85,employees!$A$2:$A$37,0)),"")</f>
        <v>Morgan Khan</v>
      </c>
      <c r="D85" s="16" t="str">
        <f>IFERROR(INDEX(employees!$C$2:$C$37,MATCH(B85,employees!$A$2:$A$37,0)),"")</f>
        <v>Systems Engineering</v>
      </c>
      <c r="E85" s="16" t="str">
        <f>IFERROR(INDEX(employees!$D$2:$D$37,MATCH(B85,employees!$A$2:$A$37,0)),"")</f>
        <v>Testing &amp; Validation</v>
      </c>
      <c r="F85" s="16" t="str">
        <f>IFERROR(INDEX(employees!$E$2:$E$37,MATCH(B85,employees!$A$2:$A$37,0)),"")</f>
        <v>Lead Engineer</v>
      </c>
      <c r="G85" s="16" t="s">
        <v>175</v>
      </c>
      <c r="H85" s="16" t="str">
        <f>IFERROR(INDEX(competency_model!$C$2:$C$25,MATCH(G85,competency_model!$A$2:$A$25,0)),"")</f>
        <v>Safety / Compliance</v>
      </c>
      <c r="I85" s="16" t="str">
        <f>IFERROR(INDEX(competency_model!$D$2:$D$25,MATCH(G85,competency_model!$A$2:$A$25,0)),"")</f>
        <v>Engineering Safety Awareness</v>
      </c>
      <c r="J85" s="16">
        <f>IFERROR(INDEX(competency_model!$F$2:$F$25,MATCH(G85,competency_model!$A$2:$A$25,0)),"")</f>
        <v>4</v>
      </c>
      <c r="K85" s="16" t="str">
        <f>IFERROR(INDEX(competency_model!$G$2:$G$25,MATCH(G85,competency_model!$A$2:$A$25,0)),"")</f>
        <v>High</v>
      </c>
      <c r="L85" s="21">
        <v>2</v>
      </c>
      <c r="M85" s="21">
        <f t="shared" si="6"/>
        <v>2</v>
      </c>
      <c r="N85" s="16" t="str">
        <f t="shared" si="7"/>
        <v>Moderate</v>
      </c>
      <c r="O85" s="21">
        <f t="shared" si="8"/>
        <v>3</v>
      </c>
      <c r="P85" s="21">
        <f t="shared" si="9"/>
        <v>6</v>
      </c>
      <c r="Q85" s="16" t="str">
        <f t="shared" si="10"/>
        <v>Development Needed</v>
      </c>
      <c r="R85" s="16" t="s">
        <v>222</v>
      </c>
      <c r="S85" s="23">
        <v>45765.795364224534</v>
      </c>
      <c r="T85" s="25">
        <f t="shared" ca="1" si="11"/>
        <v>436.20463577546616</v>
      </c>
      <c r="U85" s="16" t="s">
        <v>242</v>
      </c>
      <c r="V85" s="16" t="s">
        <v>233</v>
      </c>
      <c r="W85" s="6" t="str">
        <f>IF(R85="Missing","Missing evidence",IF(T85&gt;365,"Stale assessment",IF(COUNTIFS($B$2:$B$264,B85,$G$2:$G$264,G85)&gt;1,"Duplicate competency record",IF(INDEX(employees!$H$2:$H$37,MATCH(B85,employees!$A$2:$A$37,0))="Inactive","Inactive account","OK"))))</f>
        <v>Missing evidence</v>
      </c>
    </row>
    <row r="86" spans="1:23" ht="15" customHeight="1">
      <c r="A86" s="5" t="s">
        <v>315</v>
      </c>
      <c r="B86" s="16" t="s">
        <v>87</v>
      </c>
      <c r="C86" s="16" t="str">
        <f>IFERROR(INDEX(employees!$B$2:$B$37,MATCH(B86,employees!$A$2:$A$37,0)),"")</f>
        <v>Morgan Khan</v>
      </c>
      <c r="D86" s="16" t="str">
        <f>IFERROR(INDEX(employees!$C$2:$C$37,MATCH(B86,employees!$A$2:$A$37,0)),"")</f>
        <v>Systems Engineering</v>
      </c>
      <c r="E86" s="16" t="str">
        <f>IFERROR(INDEX(employees!$D$2:$D$37,MATCH(B86,employees!$A$2:$A$37,0)),"")</f>
        <v>Testing &amp; Validation</v>
      </c>
      <c r="F86" s="16" t="str">
        <f>IFERROR(INDEX(employees!$E$2:$E$37,MATCH(B86,employees!$A$2:$A$37,0)),"")</f>
        <v>Lead Engineer</v>
      </c>
      <c r="G86" s="16" t="s">
        <v>192</v>
      </c>
      <c r="H86" s="16" t="str">
        <f>IFERROR(INDEX(competency_model!$C$2:$C$25,MATCH(G86,competency_model!$A$2:$A$25,0)),"")</f>
        <v>Data Quality</v>
      </c>
      <c r="I86" s="16" t="str">
        <f>IFERROR(INDEX(competency_model!$D$2:$D$25,MATCH(G86,competency_model!$A$2:$A$25,0)),"")</f>
        <v>Assessment Evidence Validation</v>
      </c>
      <c r="J86" s="16">
        <f>IFERROR(INDEX(competency_model!$F$2:$F$25,MATCH(G86,competency_model!$A$2:$A$25,0)),"")</f>
        <v>4</v>
      </c>
      <c r="K86" s="16" t="str">
        <f>IFERROR(INDEX(competency_model!$G$2:$G$25,MATCH(G86,competency_model!$A$2:$A$25,0)),"")</f>
        <v>High</v>
      </c>
      <c r="L86" s="21">
        <v>2</v>
      </c>
      <c r="M86" s="21">
        <f t="shared" si="6"/>
        <v>2</v>
      </c>
      <c r="N86" s="16" t="str">
        <f t="shared" si="7"/>
        <v>Moderate</v>
      </c>
      <c r="O86" s="21">
        <f t="shared" si="8"/>
        <v>3</v>
      </c>
      <c r="P86" s="21">
        <f t="shared" si="9"/>
        <v>6</v>
      </c>
      <c r="Q86" s="16" t="str">
        <f t="shared" si="10"/>
        <v>Development Needed</v>
      </c>
      <c r="R86" s="16" t="s">
        <v>222</v>
      </c>
      <c r="S86" s="23">
        <v>45983.929403206021</v>
      </c>
      <c r="T86" s="25">
        <f t="shared" ca="1" si="11"/>
        <v>218.07059679397935</v>
      </c>
      <c r="U86" s="16" t="s">
        <v>242</v>
      </c>
      <c r="V86" s="16" t="s">
        <v>239</v>
      </c>
      <c r="W86" s="6" t="str">
        <f>IF(R86="Missing","Missing evidence",IF(T86&gt;365,"Stale assessment",IF(COUNTIFS($B$2:$B$264,B86,$G$2:$G$264,G86)&gt;1,"Duplicate competency record",IF(INDEX(employees!$H$2:$H$37,MATCH(B86,employees!$A$2:$A$37,0))="Inactive","Inactive account","OK"))))</f>
        <v>Missing evidence</v>
      </c>
    </row>
    <row r="87" spans="1:23" ht="15" customHeight="1">
      <c r="A87" s="5" t="s">
        <v>316</v>
      </c>
      <c r="B87" s="16" t="s">
        <v>87</v>
      </c>
      <c r="C87" s="16" t="str">
        <f>IFERROR(INDEX(employees!$B$2:$B$37,MATCH(B87,employees!$A$2:$A$37,0)),"")</f>
        <v>Morgan Khan</v>
      </c>
      <c r="D87" s="16" t="str">
        <f>IFERROR(INDEX(employees!$C$2:$C$37,MATCH(B87,employees!$A$2:$A$37,0)),"")</f>
        <v>Systems Engineering</v>
      </c>
      <c r="E87" s="16" t="str">
        <f>IFERROR(INDEX(employees!$D$2:$D$37,MATCH(B87,employees!$A$2:$A$37,0)),"")</f>
        <v>Testing &amp; Validation</v>
      </c>
      <c r="F87" s="16" t="str">
        <f>IFERROR(INDEX(employees!$E$2:$E$37,MATCH(B87,employees!$A$2:$A$37,0)),"")</f>
        <v>Lead Engineer</v>
      </c>
      <c r="G87" s="16" t="s">
        <v>160</v>
      </c>
      <c r="H87" s="16" t="str">
        <f>IFERROR(INDEX(competency_model!$C$2:$C$25,MATCH(G87,competency_model!$A$2:$A$25,0)),"")</f>
        <v>PowerPoint Presentation</v>
      </c>
      <c r="I87" s="16" t="str">
        <f>IFERROR(INDEX(competency_model!$D$2:$D$25,MATCH(G87,competency_model!$A$2:$A$25,0)),"")</f>
        <v>Leadership Storytelling</v>
      </c>
      <c r="J87" s="16">
        <f>IFERROR(INDEX(competency_model!$F$2:$F$25,MATCH(G87,competency_model!$A$2:$A$25,0)),"")</f>
        <v>3</v>
      </c>
      <c r="K87" s="16" t="str">
        <f>IFERROR(INDEX(competency_model!$G$2:$G$25,MATCH(G87,competency_model!$A$2:$A$25,0)),"")</f>
        <v>Medium</v>
      </c>
      <c r="L87" s="21">
        <v>4</v>
      </c>
      <c r="M87" s="21">
        <f t="shared" si="6"/>
        <v>0</v>
      </c>
      <c r="N87" s="16" t="str">
        <f t="shared" si="7"/>
        <v>No Gap</v>
      </c>
      <c r="O87" s="21">
        <f t="shared" si="8"/>
        <v>2</v>
      </c>
      <c r="P87" s="21">
        <f t="shared" si="9"/>
        <v>0</v>
      </c>
      <c r="Q87" s="16" t="str">
        <f t="shared" si="10"/>
        <v>Ready</v>
      </c>
      <c r="R87" s="16" t="s">
        <v>222</v>
      </c>
      <c r="S87" s="23">
        <v>46141.720567615739</v>
      </c>
      <c r="T87" s="25">
        <f t="shared" ca="1" si="11"/>
        <v>60.279432384260872</v>
      </c>
      <c r="U87" s="16" t="s">
        <v>242</v>
      </c>
      <c r="V87" s="16"/>
      <c r="W87" s="6" t="str">
        <f>IF(R87="Missing","Missing evidence",IF(T87&gt;365,"Stale assessment",IF(COUNTIFS($B$2:$B$264,B87,$G$2:$G$264,G87)&gt;1,"Duplicate competency record",IF(INDEX(employees!$H$2:$H$37,MATCH(B87,employees!$A$2:$A$37,0))="Inactive","Inactive account","OK"))))</f>
        <v>Missing evidence</v>
      </c>
    </row>
    <row r="88" spans="1:23" ht="15" customHeight="1">
      <c r="A88" s="5" t="s">
        <v>317</v>
      </c>
      <c r="B88" s="16" t="s">
        <v>87</v>
      </c>
      <c r="C88" s="16" t="str">
        <f>IFERROR(INDEX(employees!$B$2:$B$37,MATCH(B88,employees!$A$2:$A$37,0)),"")</f>
        <v>Morgan Khan</v>
      </c>
      <c r="D88" s="16" t="str">
        <f>IFERROR(INDEX(employees!$C$2:$C$37,MATCH(B88,employees!$A$2:$A$37,0)),"")</f>
        <v>Systems Engineering</v>
      </c>
      <c r="E88" s="16" t="str">
        <f>IFERROR(INDEX(employees!$D$2:$D$37,MATCH(B88,employees!$A$2:$A$37,0)),"")</f>
        <v>Testing &amp; Validation</v>
      </c>
      <c r="F88" s="16" t="str">
        <f>IFERROR(INDEX(employees!$E$2:$E$37,MATCH(B88,employees!$A$2:$A$37,0)),"")</f>
        <v>Lead Engineer</v>
      </c>
      <c r="G88" s="16" t="s">
        <v>171</v>
      </c>
      <c r="H88" s="16" t="str">
        <f>IFERROR(INDEX(competency_model!$C$2:$C$25,MATCH(G88,competency_model!$A$2:$A$25,0)),"")</f>
        <v>Testing &amp; Validation</v>
      </c>
      <c r="I88" s="16" t="str">
        <f>IFERROR(INDEX(competency_model!$D$2:$D$25,MATCH(G88,competency_model!$A$2:$A$25,0)),"")</f>
        <v>Test Evidence Review</v>
      </c>
      <c r="J88" s="16">
        <f>IFERROR(INDEX(competency_model!$F$2:$F$25,MATCH(G88,competency_model!$A$2:$A$25,0)),"")</f>
        <v>4</v>
      </c>
      <c r="K88" s="16" t="str">
        <f>IFERROR(INDEX(competency_model!$G$2:$G$25,MATCH(G88,competency_model!$A$2:$A$25,0)),"")</f>
        <v>High</v>
      </c>
      <c r="L88" s="21">
        <v>1</v>
      </c>
      <c r="M88" s="21">
        <f t="shared" si="6"/>
        <v>3</v>
      </c>
      <c r="N88" s="16" t="str">
        <f t="shared" si="7"/>
        <v>Critical</v>
      </c>
      <c r="O88" s="21">
        <f t="shared" si="8"/>
        <v>3</v>
      </c>
      <c r="P88" s="21">
        <f t="shared" si="9"/>
        <v>9</v>
      </c>
      <c r="Q88" s="16" t="str">
        <f t="shared" si="10"/>
        <v>Development Needed</v>
      </c>
      <c r="R88" s="16" t="s">
        <v>222</v>
      </c>
      <c r="S88" s="23">
        <v>45743.231481168979</v>
      </c>
      <c r="T88" s="25">
        <f t="shared" ca="1" si="11"/>
        <v>458.76851883102063</v>
      </c>
      <c r="U88" s="16" t="s">
        <v>242</v>
      </c>
      <c r="V88" s="16" t="s">
        <v>226</v>
      </c>
      <c r="W88" s="6" t="str">
        <f>IF(R88="Missing","Missing evidence",IF(T88&gt;365,"Stale assessment",IF(COUNTIFS($B$2:$B$264,B88,$G$2:$G$264,G88)&gt;1,"Duplicate competency record",IF(INDEX(employees!$H$2:$H$37,MATCH(B88,employees!$A$2:$A$37,0))="Inactive","Inactive account","OK"))))</f>
        <v>Missing evidence</v>
      </c>
    </row>
    <row r="89" spans="1:23" ht="15" customHeight="1">
      <c r="A89" s="5" t="s">
        <v>318</v>
      </c>
      <c r="B89" s="16" t="s">
        <v>87</v>
      </c>
      <c r="C89" s="16" t="str">
        <f>IFERROR(INDEX(employees!$B$2:$B$37,MATCH(B89,employees!$A$2:$A$37,0)),"")</f>
        <v>Morgan Khan</v>
      </c>
      <c r="D89" s="16" t="str">
        <f>IFERROR(INDEX(employees!$C$2:$C$37,MATCH(B89,employees!$A$2:$A$37,0)),"")</f>
        <v>Systems Engineering</v>
      </c>
      <c r="E89" s="16" t="str">
        <f>IFERROR(INDEX(employees!$D$2:$D$37,MATCH(B89,employees!$A$2:$A$37,0)),"")</f>
        <v>Testing &amp; Validation</v>
      </c>
      <c r="F89" s="16" t="str">
        <f>IFERROR(INDEX(employees!$E$2:$E$37,MATCH(B89,employees!$A$2:$A$37,0)),"")</f>
        <v>Lead Engineer</v>
      </c>
      <c r="G89" s="16" t="s">
        <v>178</v>
      </c>
      <c r="H89" s="16" t="str">
        <f>IFERROR(INDEX(competency_model!$C$2:$C$25,MATCH(G89,competency_model!$A$2:$A$25,0)),"")</f>
        <v>Stakeholder Communication</v>
      </c>
      <c r="I89" s="16" t="str">
        <f>IFERROR(INDEX(competency_model!$D$2:$D$25,MATCH(G89,competency_model!$A$2:$A$25,0)),"")</f>
        <v>Non-Technical Explanation</v>
      </c>
      <c r="J89" s="16">
        <f>IFERROR(INDEX(competency_model!$F$2:$F$25,MATCH(G89,competency_model!$A$2:$A$25,0)),"")</f>
        <v>3</v>
      </c>
      <c r="K89" s="16" t="str">
        <f>IFERROR(INDEX(competency_model!$G$2:$G$25,MATCH(G89,competency_model!$A$2:$A$25,0)),"")</f>
        <v>Medium</v>
      </c>
      <c r="L89" s="21">
        <v>2</v>
      </c>
      <c r="M89" s="21">
        <f t="shared" si="6"/>
        <v>1</v>
      </c>
      <c r="N89" s="16" t="str">
        <f t="shared" si="7"/>
        <v>Minor</v>
      </c>
      <c r="O89" s="21">
        <f t="shared" si="8"/>
        <v>2</v>
      </c>
      <c r="P89" s="21">
        <f t="shared" si="9"/>
        <v>2</v>
      </c>
      <c r="Q89" s="16" t="str">
        <f t="shared" si="10"/>
        <v>Development Needed</v>
      </c>
      <c r="R89" s="16" t="s">
        <v>228</v>
      </c>
      <c r="S89" s="23">
        <v>46156.570710335647</v>
      </c>
      <c r="T89" s="25">
        <f t="shared" ca="1" si="11"/>
        <v>45.429289664352837</v>
      </c>
      <c r="U89" s="16" t="s">
        <v>229</v>
      </c>
      <c r="V89" s="16" t="s">
        <v>231</v>
      </c>
      <c r="W89" s="6" t="str">
        <f ca="1">IF(R89="Missing","Missing evidence",IF(T89&gt;365,"Stale assessment",IF(COUNTIFS($B$2:$B$264,B89,$G$2:$G$264,G89)&gt;1,"Duplicate competency record",IF(INDEX(employees!$H$2:$H$37,MATCH(B89,employees!$A$2:$A$37,0))="Inactive","Inactive account","OK"))))</f>
        <v>OK</v>
      </c>
    </row>
    <row r="90" spans="1:23" ht="15" customHeight="1">
      <c r="A90" s="5" t="s">
        <v>319</v>
      </c>
      <c r="B90" s="16" t="s">
        <v>87</v>
      </c>
      <c r="C90" s="16" t="str">
        <f>IFERROR(INDEX(employees!$B$2:$B$37,MATCH(B90,employees!$A$2:$A$37,0)),"")</f>
        <v>Morgan Khan</v>
      </c>
      <c r="D90" s="16" t="str">
        <f>IFERROR(INDEX(employees!$C$2:$C$37,MATCH(B90,employees!$A$2:$A$37,0)),"")</f>
        <v>Systems Engineering</v>
      </c>
      <c r="E90" s="16" t="str">
        <f>IFERROR(INDEX(employees!$D$2:$D$37,MATCH(B90,employees!$A$2:$A$37,0)),"")</f>
        <v>Testing &amp; Validation</v>
      </c>
      <c r="F90" s="16" t="str">
        <f>IFERROR(INDEX(employees!$E$2:$E$37,MATCH(B90,employees!$A$2:$A$37,0)),"")</f>
        <v>Lead Engineer</v>
      </c>
      <c r="G90" s="16" t="s">
        <v>189</v>
      </c>
      <c r="H90" s="16" t="str">
        <f>IFERROR(INDEX(competency_model!$C$2:$C$25,MATCH(G90,competency_model!$A$2:$A$25,0)),"")</f>
        <v>Data Quality</v>
      </c>
      <c r="I90" s="16" t="str">
        <f>IFERROR(INDEX(competency_model!$D$2:$D$25,MATCH(G90,competency_model!$A$2:$A$25,0)),"")</f>
        <v>Duplicate and Missing Value Checks</v>
      </c>
      <c r="J90" s="16">
        <f>IFERROR(INDEX(competency_model!$F$2:$F$25,MATCH(G90,competency_model!$A$2:$A$25,0)),"")</f>
        <v>4</v>
      </c>
      <c r="K90" s="16" t="str">
        <f>IFERROR(INDEX(competency_model!$G$2:$G$25,MATCH(G90,competency_model!$A$2:$A$25,0)),"")</f>
        <v>High</v>
      </c>
      <c r="L90" s="21">
        <v>4</v>
      </c>
      <c r="M90" s="21">
        <f t="shared" si="6"/>
        <v>0</v>
      </c>
      <c r="N90" s="16" t="str">
        <f t="shared" si="7"/>
        <v>No Gap</v>
      </c>
      <c r="O90" s="21">
        <f t="shared" si="8"/>
        <v>3</v>
      </c>
      <c r="P90" s="21">
        <f t="shared" si="9"/>
        <v>0</v>
      </c>
      <c r="Q90" s="16" t="str">
        <f t="shared" si="10"/>
        <v>Ready</v>
      </c>
      <c r="R90" s="16" t="s">
        <v>228</v>
      </c>
      <c r="S90" s="23">
        <v>46073.910417187501</v>
      </c>
      <c r="T90" s="25">
        <f t="shared" ca="1" si="11"/>
        <v>128.08958281249943</v>
      </c>
      <c r="U90" s="16" t="s">
        <v>223</v>
      </c>
      <c r="V90" s="16"/>
      <c r="W90" s="6" t="str">
        <f ca="1">IF(R90="Missing","Missing evidence",IF(T90&gt;365,"Stale assessment",IF(COUNTIFS($B$2:$B$264,B90,$G$2:$G$264,G90)&gt;1,"Duplicate competency record",IF(INDEX(employees!$H$2:$H$37,MATCH(B90,employees!$A$2:$A$37,0))="Inactive","Inactive account","OK"))))</f>
        <v>OK</v>
      </c>
    </row>
    <row r="91" spans="1:23" ht="15" customHeight="1">
      <c r="A91" s="5" t="s">
        <v>320</v>
      </c>
      <c r="B91" s="16" t="s">
        <v>87</v>
      </c>
      <c r="C91" s="16" t="str">
        <f>IFERROR(INDEX(employees!$B$2:$B$37,MATCH(B91,employees!$A$2:$A$37,0)),"")</f>
        <v>Morgan Khan</v>
      </c>
      <c r="D91" s="16" t="str">
        <f>IFERROR(INDEX(employees!$C$2:$C$37,MATCH(B91,employees!$A$2:$A$37,0)),"")</f>
        <v>Systems Engineering</v>
      </c>
      <c r="E91" s="16" t="str">
        <f>IFERROR(INDEX(employees!$D$2:$D$37,MATCH(B91,employees!$A$2:$A$37,0)),"")</f>
        <v>Testing &amp; Validation</v>
      </c>
      <c r="F91" s="16" t="str">
        <f>IFERROR(INDEX(employees!$E$2:$E$37,MATCH(B91,employees!$A$2:$A$37,0)),"")</f>
        <v>Lead Engineer</v>
      </c>
      <c r="G91" s="16" t="s">
        <v>197</v>
      </c>
      <c r="H91" s="16" t="str">
        <f>IFERROR(INDEX(competency_model!$C$2:$C$25,MATCH(G91,competency_model!$A$2:$A$25,0)),"")</f>
        <v>User Support</v>
      </c>
      <c r="I91" s="16" t="str">
        <f>IFERROR(INDEX(competency_model!$D$2:$D$25,MATCH(G91,competency_model!$A$2:$A$25,0)),"")</f>
        <v>Competency Tool User Support</v>
      </c>
      <c r="J91" s="16">
        <f>IFERROR(INDEX(competency_model!$F$2:$F$25,MATCH(G91,competency_model!$A$2:$A$25,0)),"")</f>
        <v>3</v>
      </c>
      <c r="K91" s="16" t="str">
        <f>IFERROR(INDEX(competency_model!$G$2:$G$25,MATCH(G91,competency_model!$A$2:$A$25,0)),"")</f>
        <v>Medium</v>
      </c>
      <c r="L91" s="21">
        <v>2</v>
      </c>
      <c r="M91" s="21">
        <f t="shared" si="6"/>
        <v>1</v>
      </c>
      <c r="N91" s="16" t="str">
        <f t="shared" si="7"/>
        <v>Minor</v>
      </c>
      <c r="O91" s="21">
        <f t="shared" si="8"/>
        <v>2</v>
      </c>
      <c r="P91" s="21">
        <f t="shared" si="9"/>
        <v>2</v>
      </c>
      <c r="Q91" s="16" t="str">
        <f t="shared" si="10"/>
        <v>Development Needed</v>
      </c>
      <c r="R91" s="16" t="s">
        <v>225</v>
      </c>
      <c r="S91" s="23">
        <v>45790.89294996528</v>
      </c>
      <c r="T91" s="25">
        <f t="shared" ca="1" si="11"/>
        <v>411.10705003471958</v>
      </c>
      <c r="U91" s="16" t="s">
        <v>229</v>
      </c>
      <c r="V91" s="16" t="s">
        <v>231</v>
      </c>
      <c r="W91" s="6" t="str">
        <f ca="1">IF(R91="Missing","Missing evidence",IF(T91&gt;365,"Stale assessment",IF(COUNTIFS($B$2:$B$264,B91,$G$2:$G$264,G91)&gt;1,"Duplicate competency record",IF(INDEX(employees!$H$2:$H$37,MATCH(B91,employees!$A$2:$A$37,0))="Inactive","Inactive account","OK"))))</f>
        <v>Stale assessment</v>
      </c>
    </row>
    <row r="92" spans="1:23" ht="15" customHeight="1">
      <c r="A92" s="5" t="s">
        <v>321</v>
      </c>
      <c r="B92" s="16" t="s">
        <v>89</v>
      </c>
      <c r="C92" s="16" t="str">
        <f>IFERROR(INDEX(employees!$B$2:$B$37,MATCH(B92,employees!$A$2:$A$37,0)),"")</f>
        <v>Riley Taylor</v>
      </c>
      <c r="D92" s="16" t="str">
        <f>IFERROR(INDEX(employees!$C$2:$C$37,MATCH(B92,employees!$A$2:$A$37,0)),"")</f>
        <v>Grid Automation</v>
      </c>
      <c r="E92" s="16" t="str">
        <f>IFERROR(INDEX(employees!$D$2:$D$37,MATCH(B92,employees!$A$2:$A$37,0)),"")</f>
        <v>Testing &amp; Validation</v>
      </c>
      <c r="F92" s="16" t="str">
        <f>IFERROR(INDEX(employees!$E$2:$E$37,MATCH(B92,employees!$A$2:$A$37,0)),"")</f>
        <v>Engineer</v>
      </c>
      <c r="G92" s="16" t="s">
        <v>175</v>
      </c>
      <c r="H92" s="16" t="str">
        <f>IFERROR(INDEX(competency_model!$C$2:$C$25,MATCH(G92,competency_model!$A$2:$A$25,0)),"")</f>
        <v>Safety / Compliance</v>
      </c>
      <c r="I92" s="16" t="str">
        <f>IFERROR(INDEX(competency_model!$D$2:$D$25,MATCH(G92,competency_model!$A$2:$A$25,0)),"")</f>
        <v>Engineering Safety Awareness</v>
      </c>
      <c r="J92" s="16">
        <f>IFERROR(INDEX(competency_model!$F$2:$F$25,MATCH(G92,competency_model!$A$2:$A$25,0)),"")</f>
        <v>4</v>
      </c>
      <c r="K92" s="16" t="str">
        <f>IFERROR(INDEX(competency_model!$G$2:$G$25,MATCH(G92,competency_model!$A$2:$A$25,0)),"")</f>
        <v>High</v>
      </c>
      <c r="L92" s="21">
        <v>4</v>
      </c>
      <c r="M92" s="21">
        <f t="shared" si="6"/>
        <v>0</v>
      </c>
      <c r="N92" s="16" t="str">
        <f t="shared" si="7"/>
        <v>No Gap</v>
      </c>
      <c r="O92" s="21">
        <f t="shared" si="8"/>
        <v>3</v>
      </c>
      <c r="P92" s="21">
        <f t="shared" si="9"/>
        <v>0</v>
      </c>
      <c r="Q92" s="16" t="str">
        <f t="shared" si="10"/>
        <v>Ready</v>
      </c>
      <c r="R92" s="16" t="s">
        <v>222</v>
      </c>
      <c r="S92" s="23">
        <v>46168.751590729167</v>
      </c>
      <c r="T92" s="25">
        <f t="shared" ca="1" si="11"/>
        <v>33.248409270832781</v>
      </c>
      <c r="U92" s="16" t="s">
        <v>229</v>
      </c>
      <c r="V92" s="16" t="s">
        <v>226</v>
      </c>
      <c r="W92" s="6" t="str">
        <f>IF(R92="Missing","Missing evidence",IF(T92&gt;365,"Stale assessment",IF(COUNTIFS($B$2:$B$264,B92,$G$2:$G$264,G92)&gt;1,"Duplicate competency record",IF(INDEX(employees!$H$2:$H$37,MATCH(B92,employees!$A$2:$A$37,0))="Inactive","Inactive account","OK"))))</f>
        <v>Missing evidence</v>
      </c>
    </row>
    <row r="93" spans="1:23" ht="15" customHeight="1">
      <c r="A93" s="5" t="s">
        <v>322</v>
      </c>
      <c r="B93" s="16" t="s">
        <v>89</v>
      </c>
      <c r="C93" s="16" t="str">
        <f>IFERROR(INDEX(employees!$B$2:$B$37,MATCH(B93,employees!$A$2:$A$37,0)),"")</f>
        <v>Riley Taylor</v>
      </c>
      <c r="D93" s="16" t="str">
        <f>IFERROR(INDEX(employees!$C$2:$C$37,MATCH(B93,employees!$A$2:$A$37,0)),"")</f>
        <v>Grid Automation</v>
      </c>
      <c r="E93" s="16" t="str">
        <f>IFERROR(INDEX(employees!$D$2:$D$37,MATCH(B93,employees!$A$2:$A$37,0)),"")</f>
        <v>Testing &amp; Validation</v>
      </c>
      <c r="F93" s="16" t="str">
        <f>IFERROR(INDEX(employees!$E$2:$E$37,MATCH(B93,employees!$A$2:$A$37,0)),"")</f>
        <v>Engineer</v>
      </c>
      <c r="G93" s="16" t="s">
        <v>154</v>
      </c>
      <c r="H93" s="16" t="str">
        <f>IFERROR(INDEX(competency_model!$C$2:$C$25,MATCH(G93,competency_model!$A$2:$A$25,0)),"")</f>
        <v>Excel Reporting</v>
      </c>
      <c r="I93" s="16" t="str">
        <f>IFERROR(INDEX(competency_model!$D$2:$D$25,MATCH(G93,competency_model!$A$2:$A$25,0)),"")</f>
        <v>PivotTables and Power Query</v>
      </c>
      <c r="J93" s="16">
        <f>IFERROR(INDEX(competency_model!$F$2:$F$25,MATCH(G93,competency_model!$A$2:$A$25,0)),"")</f>
        <v>4</v>
      </c>
      <c r="K93" s="16" t="str">
        <f>IFERROR(INDEX(competency_model!$G$2:$G$25,MATCH(G93,competency_model!$A$2:$A$25,0)),"")</f>
        <v>High</v>
      </c>
      <c r="L93" s="21">
        <v>4</v>
      </c>
      <c r="M93" s="21">
        <f t="shared" si="6"/>
        <v>0</v>
      </c>
      <c r="N93" s="16" t="str">
        <f t="shared" si="7"/>
        <v>No Gap</v>
      </c>
      <c r="O93" s="21">
        <f t="shared" si="8"/>
        <v>3</v>
      </c>
      <c r="P93" s="21">
        <f t="shared" si="9"/>
        <v>0</v>
      </c>
      <c r="Q93" s="16" t="str">
        <f t="shared" si="10"/>
        <v>Ready</v>
      </c>
      <c r="R93" s="16" t="s">
        <v>228</v>
      </c>
      <c r="S93" s="23">
        <v>46101.103880844908</v>
      </c>
      <c r="T93" s="25">
        <f t="shared" ca="1" si="11"/>
        <v>100.89611915509158</v>
      </c>
      <c r="U93" s="16" t="s">
        <v>242</v>
      </c>
      <c r="V93" s="16"/>
      <c r="W93" s="6" t="str">
        <f ca="1">IF(R93="Missing","Missing evidence",IF(T93&gt;365,"Stale assessment",IF(COUNTIFS($B$2:$B$264,B93,$G$2:$G$264,G93)&gt;1,"Duplicate competency record",IF(INDEX(employees!$H$2:$H$37,MATCH(B93,employees!$A$2:$A$37,0))="Inactive","Inactive account","OK"))))</f>
        <v>Inactive account</v>
      </c>
    </row>
    <row r="94" spans="1:23" ht="15" customHeight="1">
      <c r="A94" s="5" t="s">
        <v>323</v>
      </c>
      <c r="B94" s="16" t="s">
        <v>89</v>
      </c>
      <c r="C94" s="16" t="str">
        <f>IFERROR(INDEX(employees!$B$2:$B$37,MATCH(B94,employees!$A$2:$A$37,0)),"")</f>
        <v>Riley Taylor</v>
      </c>
      <c r="D94" s="16" t="str">
        <f>IFERROR(INDEX(employees!$C$2:$C$37,MATCH(B94,employees!$A$2:$A$37,0)),"")</f>
        <v>Grid Automation</v>
      </c>
      <c r="E94" s="16" t="str">
        <f>IFERROR(INDEX(employees!$D$2:$D$37,MATCH(B94,employees!$A$2:$A$37,0)),"")</f>
        <v>Testing &amp; Validation</v>
      </c>
      <c r="F94" s="16" t="str">
        <f>IFERROR(INDEX(employees!$E$2:$E$37,MATCH(B94,employees!$A$2:$A$37,0)),"")</f>
        <v>Engineer</v>
      </c>
      <c r="G94" s="16" t="s">
        <v>171</v>
      </c>
      <c r="H94" s="16" t="str">
        <f>IFERROR(INDEX(competency_model!$C$2:$C$25,MATCH(G94,competency_model!$A$2:$A$25,0)),"")</f>
        <v>Testing &amp; Validation</v>
      </c>
      <c r="I94" s="16" t="str">
        <f>IFERROR(INDEX(competency_model!$D$2:$D$25,MATCH(G94,competency_model!$A$2:$A$25,0)),"")</f>
        <v>Test Evidence Review</v>
      </c>
      <c r="J94" s="16">
        <f>IFERROR(INDEX(competency_model!$F$2:$F$25,MATCH(G94,competency_model!$A$2:$A$25,0)),"")</f>
        <v>4</v>
      </c>
      <c r="K94" s="16" t="str">
        <f>IFERROR(INDEX(competency_model!$G$2:$G$25,MATCH(G94,competency_model!$A$2:$A$25,0)),"")</f>
        <v>High</v>
      </c>
      <c r="L94" s="21">
        <v>2</v>
      </c>
      <c r="M94" s="21">
        <f t="shared" si="6"/>
        <v>2</v>
      </c>
      <c r="N94" s="16" t="str">
        <f t="shared" si="7"/>
        <v>Moderate</v>
      </c>
      <c r="O94" s="21">
        <f t="shared" si="8"/>
        <v>3</v>
      </c>
      <c r="P94" s="21">
        <f t="shared" si="9"/>
        <v>6</v>
      </c>
      <c r="Q94" s="16" t="str">
        <f t="shared" si="10"/>
        <v>Development Needed</v>
      </c>
      <c r="R94" s="16" t="s">
        <v>225</v>
      </c>
      <c r="S94" s="23">
        <v>46132.837784699077</v>
      </c>
      <c r="T94" s="25">
        <f t="shared" ca="1" si="11"/>
        <v>69.162215300922981</v>
      </c>
      <c r="U94" s="16" t="s">
        <v>229</v>
      </c>
      <c r="V94" s="16"/>
      <c r="W94" s="6" t="str">
        <f ca="1">IF(R94="Missing","Missing evidence",IF(T94&gt;365,"Stale assessment",IF(COUNTIFS($B$2:$B$264,B94,$G$2:$G$264,G94)&gt;1,"Duplicate competency record",IF(INDEX(employees!$H$2:$H$37,MATCH(B94,employees!$A$2:$A$37,0))="Inactive","Inactive account","OK"))))</f>
        <v>Inactive account</v>
      </c>
    </row>
    <row r="95" spans="1:23" ht="15" customHeight="1">
      <c r="A95" s="5" t="s">
        <v>324</v>
      </c>
      <c r="B95" s="16" t="s">
        <v>89</v>
      </c>
      <c r="C95" s="16" t="str">
        <f>IFERROR(INDEX(employees!$B$2:$B$37,MATCH(B95,employees!$A$2:$A$37,0)),"")</f>
        <v>Riley Taylor</v>
      </c>
      <c r="D95" s="16" t="str">
        <f>IFERROR(INDEX(employees!$C$2:$C$37,MATCH(B95,employees!$A$2:$A$37,0)),"")</f>
        <v>Grid Automation</v>
      </c>
      <c r="E95" s="16" t="str">
        <f>IFERROR(INDEX(employees!$D$2:$D$37,MATCH(B95,employees!$A$2:$A$37,0)),"")</f>
        <v>Testing &amp; Validation</v>
      </c>
      <c r="F95" s="16" t="str">
        <f>IFERROR(INDEX(employees!$E$2:$E$37,MATCH(B95,employees!$A$2:$A$37,0)),"")</f>
        <v>Engineer</v>
      </c>
      <c r="G95" s="16" t="s">
        <v>192</v>
      </c>
      <c r="H95" s="16" t="str">
        <f>IFERROR(INDEX(competency_model!$C$2:$C$25,MATCH(G95,competency_model!$A$2:$A$25,0)),"")</f>
        <v>Data Quality</v>
      </c>
      <c r="I95" s="16" t="str">
        <f>IFERROR(INDEX(competency_model!$D$2:$D$25,MATCH(G95,competency_model!$A$2:$A$25,0)),"")</f>
        <v>Assessment Evidence Validation</v>
      </c>
      <c r="J95" s="16">
        <f>IFERROR(INDEX(competency_model!$F$2:$F$25,MATCH(G95,competency_model!$A$2:$A$25,0)),"")</f>
        <v>4</v>
      </c>
      <c r="K95" s="16" t="str">
        <f>IFERROR(INDEX(competency_model!$G$2:$G$25,MATCH(G95,competency_model!$A$2:$A$25,0)),"")</f>
        <v>High</v>
      </c>
      <c r="L95" s="21">
        <v>4</v>
      </c>
      <c r="M95" s="21">
        <f t="shared" si="6"/>
        <v>0</v>
      </c>
      <c r="N95" s="16" t="str">
        <f t="shared" si="7"/>
        <v>No Gap</v>
      </c>
      <c r="O95" s="21">
        <f t="shared" si="8"/>
        <v>3</v>
      </c>
      <c r="P95" s="21">
        <f t="shared" si="9"/>
        <v>0</v>
      </c>
      <c r="Q95" s="16" t="str">
        <f t="shared" si="10"/>
        <v>Ready</v>
      </c>
      <c r="R95" s="16" t="s">
        <v>225</v>
      </c>
      <c r="S95" s="23">
        <v>45727.355117256942</v>
      </c>
      <c r="T95" s="25">
        <f t="shared" ca="1" si="11"/>
        <v>474.64488274305768</v>
      </c>
      <c r="U95" s="16" t="s">
        <v>223</v>
      </c>
      <c r="V95" s="16"/>
      <c r="W95" s="6" t="str">
        <f ca="1">IF(R95="Missing","Missing evidence",IF(T95&gt;365,"Stale assessment",IF(COUNTIFS($B$2:$B$264,B95,$G$2:$G$264,G95)&gt;1,"Duplicate competency record",IF(INDEX(employees!$H$2:$H$37,MATCH(B95,employees!$A$2:$A$37,0))="Inactive","Inactive account","OK"))))</f>
        <v>Stale assessment</v>
      </c>
    </row>
    <row r="96" spans="1:23" ht="15" customHeight="1">
      <c r="A96" s="5" t="s">
        <v>325</v>
      </c>
      <c r="B96" s="16" t="s">
        <v>89</v>
      </c>
      <c r="C96" s="16" t="str">
        <f>IFERROR(INDEX(employees!$B$2:$B$37,MATCH(B96,employees!$A$2:$A$37,0)),"")</f>
        <v>Riley Taylor</v>
      </c>
      <c r="D96" s="16" t="str">
        <f>IFERROR(INDEX(employees!$C$2:$C$37,MATCH(B96,employees!$A$2:$A$37,0)),"")</f>
        <v>Grid Automation</v>
      </c>
      <c r="E96" s="16" t="str">
        <f>IFERROR(INDEX(employees!$D$2:$D$37,MATCH(B96,employees!$A$2:$A$37,0)),"")</f>
        <v>Testing &amp; Validation</v>
      </c>
      <c r="F96" s="16" t="str">
        <f>IFERROR(INDEX(employees!$E$2:$E$37,MATCH(B96,employees!$A$2:$A$37,0)),"")</f>
        <v>Engineer</v>
      </c>
      <c r="G96" s="16" t="s">
        <v>173</v>
      </c>
      <c r="H96" s="16" t="str">
        <f>IFERROR(INDEX(competency_model!$C$2:$C$25,MATCH(G96,competency_model!$A$2:$A$25,0)),"")</f>
        <v>Testing &amp; Validation</v>
      </c>
      <c r="I96" s="16" t="str">
        <f>IFERROR(INDEX(competency_model!$D$2:$D$25,MATCH(G96,competency_model!$A$2:$A$25,0)),"")</f>
        <v>Defect Investigation</v>
      </c>
      <c r="J96" s="16">
        <f>IFERROR(INDEX(competency_model!$F$2:$F$25,MATCH(G96,competency_model!$A$2:$A$25,0)),"")</f>
        <v>3</v>
      </c>
      <c r="K96" s="16" t="str">
        <f>IFERROR(INDEX(competency_model!$G$2:$G$25,MATCH(G96,competency_model!$A$2:$A$25,0)),"")</f>
        <v>Medium</v>
      </c>
      <c r="L96" s="21">
        <v>1</v>
      </c>
      <c r="M96" s="21">
        <f t="shared" si="6"/>
        <v>2</v>
      </c>
      <c r="N96" s="16" t="str">
        <f t="shared" si="7"/>
        <v>Moderate</v>
      </c>
      <c r="O96" s="21">
        <f t="shared" si="8"/>
        <v>2</v>
      </c>
      <c r="P96" s="21">
        <f t="shared" si="9"/>
        <v>4</v>
      </c>
      <c r="Q96" s="16" t="str">
        <f t="shared" si="10"/>
        <v>Development Needed</v>
      </c>
      <c r="R96" s="16" t="s">
        <v>222</v>
      </c>
      <c r="S96" s="23">
        <v>46130.152090046293</v>
      </c>
      <c r="T96" s="25">
        <f t="shared" ca="1" si="11"/>
        <v>71.847909953707131</v>
      </c>
      <c r="U96" s="16" t="s">
        <v>229</v>
      </c>
      <c r="V96" s="16" t="s">
        <v>239</v>
      </c>
      <c r="W96" s="6" t="str">
        <f>IF(R96="Missing","Missing evidence",IF(T96&gt;365,"Stale assessment",IF(COUNTIFS($B$2:$B$264,B96,$G$2:$G$264,G96)&gt;1,"Duplicate competency record",IF(INDEX(employees!$H$2:$H$37,MATCH(B96,employees!$A$2:$A$37,0))="Inactive","Inactive account","OK"))))</f>
        <v>Missing evidence</v>
      </c>
    </row>
    <row r="97" spans="1:23" ht="15" customHeight="1">
      <c r="A97" s="5" t="s">
        <v>326</v>
      </c>
      <c r="B97" s="16" t="s">
        <v>89</v>
      </c>
      <c r="C97" s="16" t="str">
        <f>IFERROR(INDEX(employees!$B$2:$B$37,MATCH(B97,employees!$A$2:$A$37,0)),"")</f>
        <v>Riley Taylor</v>
      </c>
      <c r="D97" s="16" t="str">
        <f>IFERROR(INDEX(employees!$C$2:$C$37,MATCH(B97,employees!$A$2:$A$37,0)),"")</f>
        <v>Grid Automation</v>
      </c>
      <c r="E97" s="16" t="str">
        <f>IFERROR(INDEX(employees!$D$2:$D$37,MATCH(B97,employees!$A$2:$A$37,0)),"")</f>
        <v>Testing &amp; Validation</v>
      </c>
      <c r="F97" s="16" t="str">
        <f>IFERROR(INDEX(employees!$E$2:$E$37,MATCH(B97,employees!$A$2:$A$37,0)),"")</f>
        <v>Engineer</v>
      </c>
      <c r="G97" s="16" t="s">
        <v>160</v>
      </c>
      <c r="H97" s="16" t="str">
        <f>IFERROR(INDEX(competency_model!$C$2:$C$25,MATCH(G97,competency_model!$A$2:$A$25,0)),"")</f>
        <v>PowerPoint Presentation</v>
      </c>
      <c r="I97" s="16" t="str">
        <f>IFERROR(INDEX(competency_model!$D$2:$D$25,MATCH(G97,competency_model!$A$2:$A$25,0)),"")</f>
        <v>Leadership Storytelling</v>
      </c>
      <c r="J97" s="16">
        <f>IFERROR(INDEX(competency_model!$F$2:$F$25,MATCH(G97,competency_model!$A$2:$A$25,0)),"")</f>
        <v>3</v>
      </c>
      <c r="K97" s="16" t="str">
        <f>IFERROR(INDEX(competency_model!$G$2:$G$25,MATCH(G97,competency_model!$A$2:$A$25,0)),"")</f>
        <v>Medium</v>
      </c>
      <c r="L97" s="21">
        <v>3</v>
      </c>
      <c r="M97" s="21">
        <f t="shared" si="6"/>
        <v>0</v>
      </c>
      <c r="N97" s="16" t="str">
        <f t="shared" si="7"/>
        <v>No Gap</v>
      </c>
      <c r="O97" s="21">
        <f t="shared" si="8"/>
        <v>2</v>
      </c>
      <c r="P97" s="21">
        <f t="shared" si="9"/>
        <v>0</v>
      </c>
      <c r="Q97" s="16" t="str">
        <f t="shared" si="10"/>
        <v>Ready</v>
      </c>
      <c r="R97" s="16" t="s">
        <v>225</v>
      </c>
      <c r="S97" s="23">
        <v>46170.543927141203</v>
      </c>
      <c r="T97" s="25">
        <f t="shared" ca="1" si="11"/>
        <v>31.456072858796688</v>
      </c>
      <c r="U97" s="16" t="s">
        <v>242</v>
      </c>
      <c r="V97" s="16" t="s">
        <v>239</v>
      </c>
      <c r="W97" s="6" t="str">
        <f ca="1">IF(R97="Missing","Missing evidence",IF(T97&gt;365,"Stale assessment",IF(COUNTIFS($B$2:$B$264,B97,$G$2:$G$264,G97)&gt;1,"Duplicate competency record",IF(INDEX(employees!$H$2:$H$37,MATCH(B97,employees!$A$2:$A$37,0))="Inactive","Inactive account","OK"))))</f>
        <v>Inactive account</v>
      </c>
    </row>
    <row r="98" spans="1:23" ht="15" customHeight="1">
      <c r="A98" s="5" t="s">
        <v>327</v>
      </c>
      <c r="B98" s="16" t="s">
        <v>89</v>
      </c>
      <c r="C98" s="16" t="str">
        <f>IFERROR(INDEX(employees!$B$2:$B$37,MATCH(B98,employees!$A$2:$A$37,0)),"")</f>
        <v>Riley Taylor</v>
      </c>
      <c r="D98" s="16" t="str">
        <f>IFERROR(INDEX(employees!$C$2:$C$37,MATCH(B98,employees!$A$2:$A$37,0)),"")</f>
        <v>Grid Automation</v>
      </c>
      <c r="E98" s="16" t="str">
        <f>IFERROR(INDEX(employees!$D$2:$D$37,MATCH(B98,employees!$A$2:$A$37,0)),"")</f>
        <v>Testing &amp; Validation</v>
      </c>
      <c r="F98" s="16" t="str">
        <f>IFERROR(INDEX(employees!$E$2:$E$37,MATCH(B98,employees!$A$2:$A$37,0)),"")</f>
        <v>Engineer</v>
      </c>
      <c r="G98" s="16" t="s">
        <v>163</v>
      </c>
      <c r="H98" s="16" t="str">
        <f>IFERROR(INDEX(competency_model!$C$2:$C$25,MATCH(G98,competency_model!$A$2:$A$25,0)),"")</f>
        <v>Engineering Documentation</v>
      </c>
      <c r="I98" s="16" t="str">
        <f>IFERROR(INDEX(competency_model!$D$2:$D$25,MATCH(G98,competency_model!$A$2:$A$25,0)),"")</f>
        <v>Technical Documentation</v>
      </c>
      <c r="J98" s="16">
        <f>IFERROR(INDEX(competency_model!$F$2:$F$25,MATCH(G98,competency_model!$A$2:$A$25,0)),"")</f>
        <v>4</v>
      </c>
      <c r="K98" s="16" t="str">
        <f>IFERROR(INDEX(competency_model!$G$2:$G$25,MATCH(G98,competency_model!$A$2:$A$25,0)),"")</f>
        <v>High</v>
      </c>
      <c r="L98" s="21">
        <v>4</v>
      </c>
      <c r="M98" s="21">
        <f t="shared" si="6"/>
        <v>0</v>
      </c>
      <c r="N98" s="16" t="str">
        <f t="shared" si="7"/>
        <v>No Gap</v>
      </c>
      <c r="O98" s="21">
        <f t="shared" si="8"/>
        <v>3</v>
      </c>
      <c r="P98" s="21">
        <f t="shared" si="9"/>
        <v>0</v>
      </c>
      <c r="Q98" s="16" t="str">
        <f t="shared" si="10"/>
        <v>Ready</v>
      </c>
      <c r="R98" s="16" t="s">
        <v>222</v>
      </c>
      <c r="S98" s="23">
        <v>45793.727258877312</v>
      </c>
      <c r="T98" s="25">
        <f t="shared" ca="1" si="11"/>
        <v>408.27274112268788</v>
      </c>
      <c r="U98" s="16" t="s">
        <v>223</v>
      </c>
      <c r="V98" s="16"/>
      <c r="W98" s="6" t="str">
        <f>IF(R98="Missing","Missing evidence",IF(T98&gt;365,"Stale assessment",IF(COUNTIFS($B$2:$B$264,B98,$G$2:$G$264,G98)&gt;1,"Duplicate competency record",IF(INDEX(employees!$H$2:$H$37,MATCH(B98,employees!$A$2:$A$37,0))="Inactive","Inactive account","OK"))))</f>
        <v>Missing evidence</v>
      </c>
    </row>
    <row r="99" spans="1:23" ht="15" customHeight="1">
      <c r="A99" s="5" t="s">
        <v>328</v>
      </c>
      <c r="B99" s="16" t="s">
        <v>89</v>
      </c>
      <c r="C99" s="16" t="str">
        <f>IFERROR(INDEX(employees!$B$2:$B$37,MATCH(B99,employees!$A$2:$A$37,0)),"")</f>
        <v>Riley Taylor</v>
      </c>
      <c r="D99" s="16" t="str">
        <f>IFERROR(INDEX(employees!$C$2:$C$37,MATCH(B99,employees!$A$2:$A$37,0)),"")</f>
        <v>Grid Automation</v>
      </c>
      <c r="E99" s="16" t="str">
        <f>IFERROR(INDEX(employees!$D$2:$D$37,MATCH(B99,employees!$A$2:$A$37,0)),"")</f>
        <v>Testing &amp; Validation</v>
      </c>
      <c r="F99" s="16" t="str">
        <f>IFERROR(INDEX(employees!$E$2:$E$37,MATCH(B99,employees!$A$2:$A$37,0)),"")</f>
        <v>Engineer</v>
      </c>
      <c r="G99" s="16" t="s">
        <v>178</v>
      </c>
      <c r="H99" s="16" t="str">
        <f>IFERROR(INDEX(competency_model!$C$2:$C$25,MATCH(G99,competency_model!$A$2:$A$25,0)),"")</f>
        <v>Stakeholder Communication</v>
      </c>
      <c r="I99" s="16" t="str">
        <f>IFERROR(INDEX(competency_model!$D$2:$D$25,MATCH(G99,competency_model!$A$2:$A$25,0)),"")</f>
        <v>Non-Technical Explanation</v>
      </c>
      <c r="J99" s="16">
        <f>IFERROR(INDEX(competency_model!$F$2:$F$25,MATCH(G99,competency_model!$A$2:$A$25,0)),"")</f>
        <v>3</v>
      </c>
      <c r="K99" s="16" t="str">
        <f>IFERROR(INDEX(competency_model!$G$2:$G$25,MATCH(G99,competency_model!$A$2:$A$25,0)),"")</f>
        <v>Medium</v>
      </c>
      <c r="L99" s="21">
        <v>3</v>
      </c>
      <c r="M99" s="21">
        <f t="shared" si="6"/>
        <v>0</v>
      </c>
      <c r="N99" s="16" t="str">
        <f t="shared" si="7"/>
        <v>No Gap</v>
      </c>
      <c r="O99" s="21">
        <f t="shared" si="8"/>
        <v>2</v>
      </c>
      <c r="P99" s="21">
        <f t="shared" si="9"/>
        <v>0</v>
      </c>
      <c r="Q99" s="16" t="str">
        <f t="shared" si="10"/>
        <v>Ready</v>
      </c>
      <c r="R99" s="16" t="s">
        <v>228</v>
      </c>
      <c r="S99" s="23">
        <v>46003.707936817133</v>
      </c>
      <c r="T99" s="25">
        <f t="shared" ca="1" si="11"/>
        <v>198.29206318286742</v>
      </c>
      <c r="U99" s="16" t="s">
        <v>242</v>
      </c>
      <c r="V99" s="16" t="s">
        <v>226</v>
      </c>
      <c r="W99" s="6" t="str">
        <f ca="1">IF(R99="Missing","Missing evidence",IF(T99&gt;365,"Stale assessment",IF(COUNTIFS($B$2:$B$264,B99,$G$2:$G$264,G99)&gt;1,"Duplicate competency record",IF(INDEX(employees!$H$2:$H$37,MATCH(B99,employees!$A$2:$A$37,0))="Inactive","Inactive account","OK"))))</f>
        <v>Inactive account</v>
      </c>
    </row>
    <row r="100" spans="1:23" ht="15" customHeight="1">
      <c r="A100" s="5" t="s">
        <v>329</v>
      </c>
      <c r="B100" s="16" t="s">
        <v>93</v>
      </c>
      <c r="C100" s="16" t="str">
        <f>IFERROR(INDEX(employees!$B$2:$B$37,MATCH(B100,employees!$A$2:$A$37,0)),"")</f>
        <v>Sam Nguyen</v>
      </c>
      <c r="D100" s="16" t="str">
        <f>IFERROR(INDEX(employees!$C$2:$C$37,MATCH(B100,employees!$A$2:$A$37,0)),"")</f>
        <v>HVDC</v>
      </c>
      <c r="E100" s="16" t="str">
        <f>IFERROR(INDEX(employees!$D$2:$D$37,MATCH(B100,employees!$A$2:$A$37,0)),"")</f>
        <v>Software Engineering</v>
      </c>
      <c r="F100" s="16" t="str">
        <f>IFERROR(INDEX(employees!$E$2:$E$37,MATCH(B100,employees!$A$2:$A$37,0)),"")</f>
        <v>Graduate</v>
      </c>
      <c r="G100" s="16" t="s">
        <v>149</v>
      </c>
      <c r="H100" s="16" t="str">
        <f>IFERROR(INDEX(competency_model!$C$2:$C$25,MATCH(G100,competency_model!$A$2:$A$25,0)),"")</f>
        <v>Data Analysis</v>
      </c>
      <c r="I100" s="16" t="str">
        <f>IFERROR(INDEX(competency_model!$D$2:$D$25,MATCH(G100,competency_model!$A$2:$A$25,0)),"")</f>
        <v>Python Data Cleaning</v>
      </c>
      <c r="J100" s="16">
        <f>IFERROR(INDEX(competency_model!$F$2:$F$25,MATCH(G100,competency_model!$A$2:$A$25,0)),"")</f>
        <v>4</v>
      </c>
      <c r="K100" s="16" t="str">
        <f>IFERROR(INDEX(competency_model!$G$2:$G$25,MATCH(G100,competency_model!$A$2:$A$25,0)),"")</f>
        <v>High</v>
      </c>
      <c r="L100" s="21">
        <v>3</v>
      </c>
      <c r="M100" s="21">
        <f t="shared" si="6"/>
        <v>1</v>
      </c>
      <c r="N100" s="16" t="str">
        <f t="shared" si="7"/>
        <v>Minor</v>
      </c>
      <c r="O100" s="21">
        <f t="shared" si="8"/>
        <v>3</v>
      </c>
      <c r="P100" s="21">
        <f t="shared" si="9"/>
        <v>3</v>
      </c>
      <c r="Q100" s="16" t="str">
        <f t="shared" si="10"/>
        <v>Development Needed</v>
      </c>
      <c r="R100" s="16" t="s">
        <v>228</v>
      </c>
      <c r="S100" s="23">
        <v>46139.784142592594</v>
      </c>
      <c r="T100" s="25">
        <f t="shared" ca="1" si="11"/>
        <v>62.215857407405565</v>
      </c>
      <c r="U100" s="16" t="s">
        <v>242</v>
      </c>
      <c r="V100" s="16" t="s">
        <v>239</v>
      </c>
      <c r="W100" s="6" t="str">
        <f ca="1">IF(R100="Missing","Missing evidence",IF(T100&gt;365,"Stale assessment",IF(COUNTIFS($B$2:$B$264,B100,$G$2:$G$264,G100)&gt;1,"Duplicate competency record",IF(INDEX(employees!$H$2:$H$37,MATCH(B100,employees!$A$2:$A$37,0))="Inactive","Inactive account","OK"))))</f>
        <v>OK</v>
      </c>
    </row>
    <row r="101" spans="1:23" ht="15" customHeight="1">
      <c r="A101" s="5" t="s">
        <v>330</v>
      </c>
      <c r="B101" s="16" t="s">
        <v>93</v>
      </c>
      <c r="C101" s="16" t="str">
        <f>IFERROR(INDEX(employees!$B$2:$B$37,MATCH(B101,employees!$A$2:$A$37,0)),"")</f>
        <v>Sam Nguyen</v>
      </c>
      <c r="D101" s="16" t="str">
        <f>IFERROR(INDEX(employees!$C$2:$C$37,MATCH(B101,employees!$A$2:$A$37,0)),"")</f>
        <v>HVDC</v>
      </c>
      <c r="E101" s="16" t="str">
        <f>IFERROR(INDEX(employees!$D$2:$D$37,MATCH(B101,employees!$A$2:$A$37,0)),"")</f>
        <v>Software Engineering</v>
      </c>
      <c r="F101" s="16" t="str">
        <f>IFERROR(INDEX(employees!$E$2:$E$37,MATCH(B101,employees!$A$2:$A$37,0)),"")</f>
        <v>Graduate</v>
      </c>
      <c r="G101" s="16" t="s">
        <v>175</v>
      </c>
      <c r="H101" s="16" t="str">
        <f>IFERROR(INDEX(competency_model!$C$2:$C$25,MATCH(G101,competency_model!$A$2:$A$25,0)),"")</f>
        <v>Safety / Compliance</v>
      </c>
      <c r="I101" s="16" t="str">
        <f>IFERROR(INDEX(competency_model!$D$2:$D$25,MATCH(G101,competency_model!$A$2:$A$25,0)),"")</f>
        <v>Engineering Safety Awareness</v>
      </c>
      <c r="J101" s="16">
        <f>IFERROR(INDEX(competency_model!$F$2:$F$25,MATCH(G101,competency_model!$A$2:$A$25,0)),"")</f>
        <v>4</v>
      </c>
      <c r="K101" s="16" t="str">
        <f>IFERROR(INDEX(competency_model!$G$2:$G$25,MATCH(G101,competency_model!$A$2:$A$25,0)),"")</f>
        <v>High</v>
      </c>
      <c r="L101" s="21">
        <v>1</v>
      </c>
      <c r="M101" s="21">
        <f t="shared" si="6"/>
        <v>3</v>
      </c>
      <c r="N101" s="16" t="str">
        <f t="shared" si="7"/>
        <v>Critical</v>
      </c>
      <c r="O101" s="21">
        <f t="shared" si="8"/>
        <v>3</v>
      </c>
      <c r="P101" s="21">
        <f t="shared" si="9"/>
        <v>9</v>
      </c>
      <c r="Q101" s="16" t="str">
        <f t="shared" si="10"/>
        <v>Development Needed</v>
      </c>
      <c r="R101" s="16" t="s">
        <v>228</v>
      </c>
      <c r="S101" s="23">
        <v>46003.825966828706</v>
      </c>
      <c r="T101" s="25">
        <f t="shared" ca="1" si="11"/>
        <v>198.17403317129356</v>
      </c>
      <c r="U101" s="16" t="s">
        <v>223</v>
      </c>
      <c r="V101" s="16"/>
      <c r="W101" s="6" t="str">
        <f ca="1">IF(R101="Missing","Missing evidence",IF(T101&gt;365,"Stale assessment",IF(COUNTIFS($B$2:$B$264,B101,$G$2:$G$264,G101)&gt;1,"Duplicate competency record",IF(INDEX(employees!$H$2:$H$37,MATCH(B101,employees!$A$2:$A$37,0))="Inactive","Inactive account","OK"))))</f>
        <v>OK</v>
      </c>
    </row>
    <row r="102" spans="1:23" ht="15" customHeight="1">
      <c r="A102" s="5" t="s">
        <v>331</v>
      </c>
      <c r="B102" s="16" t="s">
        <v>93</v>
      </c>
      <c r="C102" s="16" t="str">
        <f>IFERROR(INDEX(employees!$B$2:$B$37,MATCH(B102,employees!$A$2:$A$37,0)),"")</f>
        <v>Sam Nguyen</v>
      </c>
      <c r="D102" s="16" t="str">
        <f>IFERROR(INDEX(employees!$C$2:$C$37,MATCH(B102,employees!$A$2:$A$37,0)),"")</f>
        <v>HVDC</v>
      </c>
      <c r="E102" s="16" t="str">
        <f>IFERROR(INDEX(employees!$D$2:$D$37,MATCH(B102,employees!$A$2:$A$37,0)),"")</f>
        <v>Software Engineering</v>
      </c>
      <c r="F102" s="16" t="str">
        <f>IFERROR(INDEX(employees!$E$2:$E$37,MATCH(B102,employees!$A$2:$A$37,0)),"")</f>
        <v>Graduate</v>
      </c>
      <c r="G102" s="16" t="s">
        <v>160</v>
      </c>
      <c r="H102" s="16" t="str">
        <f>IFERROR(INDEX(competency_model!$C$2:$C$25,MATCH(G102,competency_model!$A$2:$A$25,0)),"")</f>
        <v>PowerPoint Presentation</v>
      </c>
      <c r="I102" s="16" t="str">
        <f>IFERROR(INDEX(competency_model!$D$2:$D$25,MATCH(G102,competency_model!$A$2:$A$25,0)),"")</f>
        <v>Leadership Storytelling</v>
      </c>
      <c r="J102" s="16">
        <f>IFERROR(INDEX(competency_model!$F$2:$F$25,MATCH(G102,competency_model!$A$2:$A$25,0)),"")</f>
        <v>3</v>
      </c>
      <c r="K102" s="16" t="str">
        <f>IFERROR(INDEX(competency_model!$G$2:$G$25,MATCH(G102,competency_model!$A$2:$A$25,0)),"")</f>
        <v>Medium</v>
      </c>
      <c r="L102" s="21">
        <v>1</v>
      </c>
      <c r="M102" s="21">
        <f t="shared" si="6"/>
        <v>2</v>
      </c>
      <c r="N102" s="16" t="str">
        <f t="shared" si="7"/>
        <v>Moderate</v>
      </c>
      <c r="O102" s="21">
        <f t="shared" si="8"/>
        <v>2</v>
      </c>
      <c r="P102" s="21">
        <f t="shared" si="9"/>
        <v>4</v>
      </c>
      <c r="Q102" s="16" t="str">
        <f t="shared" si="10"/>
        <v>Development Needed</v>
      </c>
      <c r="R102" s="16" t="s">
        <v>228</v>
      </c>
      <c r="S102" s="23">
        <v>45736.429046990743</v>
      </c>
      <c r="T102" s="25">
        <f t="shared" ca="1" si="11"/>
        <v>465.57095300925721</v>
      </c>
      <c r="U102" s="16" t="s">
        <v>223</v>
      </c>
      <c r="V102" s="16" t="s">
        <v>233</v>
      </c>
      <c r="W102" s="6" t="str">
        <f ca="1">IF(R102="Missing","Missing evidence",IF(T102&gt;365,"Stale assessment",IF(COUNTIFS($B$2:$B$264,B102,$G$2:$G$264,G102)&gt;1,"Duplicate competency record",IF(INDEX(employees!$H$2:$H$37,MATCH(B102,employees!$A$2:$A$37,0))="Inactive","Inactive account","OK"))))</f>
        <v>Stale assessment</v>
      </c>
    </row>
    <row r="103" spans="1:23" ht="15" customHeight="1">
      <c r="A103" s="5" t="s">
        <v>332</v>
      </c>
      <c r="B103" s="16" t="s">
        <v>93</v>
      </c>
      <c r="C103" s="16" t="str">
        <f>IFERROR(INDEX(employees!$B$2:$B$37,MATCH(B103,employees!$A$2:$A$37,0)),"")</f>
        <v>Sam Nguyen</v>
      </c>
      <c r="D103" s="16" t="str">
        <f>IFERROR(INDEX(employees!$C$2:$C$37,MATCH(B103,employees!$A$2:$A$37,0)),"")</f>
        <v>HVDC</v>
      </c>
      <c r="E103" s="16" t="str">
        <f>IFERROR(INDEX(employees!$D$2:$D$37,MATCH(B103,employees!$A$2:$A$37,0)),"")</f>
        <v>Software Engineering</v>
      </c>
      <c r="F103" s="16" t="str">
        <f>IFERROR(INDEX(employees!$E$2:$E$37,MATCH(B103,employees!$A$2:$A$37,0)),"")</f>
        <v>Graduate</v>
      </c>
      <c r="G103" s="16" t="s">
        <v>189</v>
      </c>
      <c r="H103" s="16" t="str">
        <f>IFERROR(INDEX(competency_model!$C$2:$C$25,MATCH(G103,competency_model!$A$2:$A$25,0)),"")</f>
        <v>Data Quality</v>
      </c>
      <c r="I103" s="16" t="str">
        <f>IFERROR(INDEX(competency_model!$D$2:$D$25,MATCH(G103,competency_model!$A$2:$A$25,0)),"")</f>
        <v>Duplicate and Missing Value Checks</v>
      </c>
      <c r="J103" s="16">
        <f>IFERROR(INDEX(competency_model!$F$2:$F$25,MATCH(G103,competency_model!$A$2:$A$25,0)),"")</f>
        <v>4</v>
      </c>
      <c r="K103" s="16" t="str">
        <f>IFERROR(INDEX(competency_model!$G$2:$G$25,MATCH(G103,competency_model!$A$2:$A$25,0)),"")</f>
        <v>High</v>
      </c>
      <c r="L103" s="21">
        <v>3</v>
      </c>
      <c r="M103" s="21">
        <f t="shared" si="6"/>
        <v>1</v>
      </c>
      <c r="N103" s="16" t="str">
        <f t="shared" si="7"/>
        <v>Minor</v>
      </c>
      <c r="O103" s="21">
        <f t="shared" si="8"/>
        <v>3</v>
      </c>
      <c r="P103" s="21">
        <f t="shared" si="9"/>
        <v>3</v>
      </c>
      <c r="Q103" s="16" t="str">
        <f t="shared" si="10"/>
        <v>Development Needed</v>
      </c>
      <c r="R103" s="16" t="s">
        <v>228</v>
      </c>
      <c r="S103" s="23">
        <v>46142.702615856484</v>
      </c>
      <c r="T103" s="25">
        <f t="shared" ca="1" si="11"/>
        <v>59.297384143515956</v>
      </c>
      <c r="U103" s="16" t="s">
        <v>229</v>
      </c>
      <c r="V103" s="16" t="s">
        <v>226</v>
      </c>
      <c r="W103" s="6" t="str">
        <f ca="1">IF(R103="Missing","Missing evidence",IF(T103&gt;365,"Stale assessment",IF(COUNTIFS($B$2:$B$264,B103,$G$2:$G$264,G103)&gt;1,"Duplicate competency record",IF(INDEX(employees!$H$2:$H$37,MATCH(B103,employees!$A$2:$A$37,0))="Inactive","Inactive account","OK"))))</f>
        <v>OK</v>
      </c>
    </row>
    <row r="104" spans="1:23" ht="15" customHeight="1">
      <c r="A104" s="5" t="s">
        <v>333</v>
      </c>
      <c r="B104" s="16" t="s">
        <v>93</v>
      </c>
      <c r="C104" s="16" t="str">
        <f>IFERROR(INDEX(employees!$B$2:$B$37,MATCH(B104,employees!$A$2:$A$37,0)),"")</f>
        <v>Sam Nguyen</v>
      </c>
      <c r="D104" s="16" t="str">
        <f>IFERROR(INDEX(employees!$C$2:$C$37,MATCH(B104,employees!$A$2:$A$37,0)),"")</f>
        <v>HVDC</v>
      </c>
      <c r="E104" s="16" t="str">
        <f>IFERROR(INDEX(employees!$D$2:$D$37,MATCH(B104,employees!$A$2:$A$37,0)),"")</f>
        <v>Software Engineering</v>
      </c>
      <c r="F104" s="16" t="str">
        <f>IFERROR(INDEX(employees!$E$2:$E$37,MATCH(B104,employees!$A$2:$A$37,0)),"")</f>
        <v>Graduate</v>
      </c>
      <c r="G104" s="16" t="s">
        <v>197</v>
      </c>
      <c r="H104" s="16" t="str">
        <f>IFERROR(INDEX(competency_model!$C$2:$C$25,MATCH(G104,competency_model!$A$2:$A$25,0)),"")</f>
        <v>User Support</v>
      </c>
      <c r="I104" s="16" t="str">
        <f>IFERROR(INDEX(competency_model!$D$2:$D$25,MATCH(G104,competency_model!$A$2:$A$25,0)),"")</f>
        <v>Competency Tool User Support</v>
      </c>
      <c r="J104" s="16">
        <f>IFERROR(INDEX(competency_model!$F$2:$F$25,MATCH(G104,competency_model!$A$2:$A$25,0)),"")</f>
        <v>3</v>
      </c>
      <c r="K104" s="16" t="str">
        <f>IFERROR(INDEX(competency_model!$G$2:$G$25,MATCH(G104,competency_model!$A$2:$A$25,0)),"")</f>
        <v>Medium</v>
      </c>
      <c r="L104" s="21">
        <v>3</v>
      </c>
      <c r="M104" s="21">
        <f t="shared" si="6"/>
        <v>0</v>
      </c>
      <c r="N104" s="16" t="str">
        <f t="shared" si="7"/>
        <v>No Gap</v>
      </c>
      <c r="O104" s="21">
        <f t="shared" si="8"/>
        <v>2</v>
      </c>
      <c r="P104" s="21">
        <f t="shared" si="9"/>
        <v>0</v>
      </c>
      <c r="Q104" s="16" t="str">
        <f t="shared" si="10"/>
        <v>Ready</v>
      </c>
      <c r="R104" s="16" t="s">
        <v>228</v>
      </c>
      <c r="S104" s="23">
        <v>46167.048054467596</v>
      </c>
      <c r="T104" s="25">
        <f t="shared" ca="1" si="11"/>
        <v>34.951945532404352</v>
      </c>
      <c r="U104" s="16" t="s">
        <v>223</v>
      </c>
      <c r="V104" s="16" t="s">
        <v>231</v>
      </c>
      <c r="W104" s="6" t="str">
        <f ca="1">IF(R104="Missing","Missing evidence",IF(T104&gt;365,"Stale assessment",IF(COUNTIFS($B$2:$B$264,B104,$G$2:$G$264,G104)&gt;1,"Duplicate competency record",IF(INDEX(employees!$H$2:$H$37,MATCH(B104,employees!$A$2:$A$37,0))="Inactive","Inactive account","OK"))))</f>
        <v>OK</v>
      </c>
    </row>
    <row r="105" spans="1:23" ht="15" customHeight="1">
      <c r="A105" s="5" t="s">
        <v>334</v>
      </c>
      <c r="B105" s="16" t="s">
        <v>93</v>
      </c>
      <c r="C105" s="16" t="str">
        <f>IFERROR(INDEX(employees!$B$2:$B$37,MATCH(B105,employees!$A$2:$A$37,0)),"")</f>
        <v>Sam Nguyen</v>
      </c>
      <c r="D105" s="16" t="str">
        <f>IFERROR(INDEX(employees!$C$2:$C$37,MATCH(B105,employees!$A$2:$A$37,0)),"")</f>
        <v>HVDC</v>
      </c>
      <c r="E105" s="16" t="str">
        <f>IFERROR(INDEX(employees!$D$2:$D$37,MATCH(B105,employees!$A$2:$A$37,0)),"")</f>
        <v>Software Engineering</v>
      </c>
      <c r="F105" s="16" t="str">
        <f>IFERROR(INDEX(employees!$E$2:$E$37,MATCH(B105,employees!$A$2:$A$37,0)),"")</f>
        <v>Graduate</v>
      </c>
      <c r="G105" s="16" t="s">
        <v>183</v>
      </c>
      <c r="H105" s="16" t="str">
        <f>IFERROR(INDEX(competency_model!$C$2:$C$25,MATCH(G105,competency_model!$A$2:$A$25,0)),"")</f>
        <v>Python</v>
      </c>
      <c r="I105" s="16" t="str">
        <f>IFERROR(INDEX(competency_model!$D$2:$D$25,MATCH(G105,competency_model!$A$2:$A$25,0)),"")</f>
        <v>Automation Scripting</v>
      </c>
      <c r="J105" s="16">
        <f>IFERROR(INDEX(competency_model!$F$2:$F$25,MATCH(G105,competency_model!$A$2:$A$25,0)),"")</f>
        <v>3</v>
      </c>
      <c r="K105" s="16" t="str">
        <f>IFERROR(INDEX(competency_model!$G$2:$G$25,MATCH(G105,competency_model!$A$2:$A$25,0)),"")</f>
        <v>Medium</v>
      </c>
      <c r="L105" s="21">
        <v>1</v>
      </c>
      <c r="M105" s="21">
        <f t="shared" si="6"/>
        <v>2</v>
      </c>
      <c r="N105" s="16" t="str">
        <f t="shared" si="7"/>
        <v>Moderate</v>
      </c>
      <c r="O105" s="21">
        <f t="shared" si="8"/>
        <v>2</v>
      </c>
      <c r="P105" s="21">
        <f t="shared" si="9"/>
        <v>4</v>
      </c>
      <c r="Q105" s="16" t="str">
        <f t="shared" si="10"/>
        <v>Development Needed</v>
      </c>
      <c r="R105" s="16" t="s">
        <v>225</v>
      </c>
      <c r="S105" s="23">
        <v>45711.577081226853</v>
      </c>
      <c r="T105" s="25">
        <f t="shared" ca="1" si="11"/>
        <v>490.4229187731471</v>
      </c>
      <c r="U105" s="16" t="s">
        <v>242</v>
      </c>
      <c r="V105" s="16" t="s">
        <v>233</v>
      </c>
      <c r="W105" s="6" t="str">
        <f ca="1">IF(R105="Missing","Missing evidence",IF(T105&gt;365,"Stale assessment",IF(COUNTIFS($B$2:$B$264,B105,$G$2:$G$264,G105)&gt;1,"Duplicate competency record",IF(INDEX(employees!$H$2:$H$37,MATCH(B105,employees!$A$2:$A$37,0))="Inactive","Inactive account","OK"))))</f>
        <v>Stale assessment</v>
      </c>
    </row>
    <row r="106" spans="1:23" ht="15" customHeight="1">
      <c r="A106" s="5" t="s">
        <v>335</v>
      </c>
      <c r="B106" s="16" t="s">
        <v>95</v>
      </c>
      <c r="C106" s="16" t="str">
        <f>IFERROR(INDEX(employees!$B$2:$B$37,MATCH(B106,employees!$A$2:$A$37,0)),"")</f>
        <v>Alex Taylor</v>
      </c>
      <c r="D106" s="16" t="str">
        <f>IFERROR(INDEX(employees!$C$2:$C$37,MATCH(B106,employees!$A$2:$A$37,0)),"")</f>
        <v>Chief Engineer Office</v>
      </c>
      <c r="E106" s="16" t="str">
        <f>IFERROR(INDEX(employees!$D$2:$D$37,MATCH(B106,employees!$A$2:$A$37,0)),"")</f>
        <v>Software Engineering</v>
      </c>
      <c r="F106" s="16" t="str">
        <f>IFERROR(INDEX(employees!$E$2:$E$37,MATCH(B106,employees!$A$2:$A$37,0)),"")</f>
        <v>Lead Engineer</v>
      </c>
      <c r="G106" s="16" t="s">
        <v>197</v>
      </c>
      <c r="H106" s="16" t="str">
        <f>IFERROR(INDEX(competency_model!$C$2:$C$25,MATCH(G106,competency_model!$A$2:$A$25,0)),"")</f>
        <v>User Support</v>
      </c>
      <c r="I106" s="16" t="str">
        <f>IFERROR(INDEX(competency_model!$D$2:$D$25,MATCH(G106,competency_model!$A$2:$A$25,0)),"")</f>
        <v>Competency Tool User Support</v>
      </c>
      <c r="J106" s="16">
        <f>IFERROR(INDEX(competency_model!$F$2:$F$25,MATCH(G106,competency_model!$A$2:$A$25,0)),"")</f>
        <v>3</v>
      </c>
      <c r="K106" s="16" t="str">
        <f>IFERROR(INDEX(competency_model!$G$2:$G$25,MATCH(G106,competency_model!$A$2:$A$25,0)),"")</f>
        <v>Medium</v>
      </c>
      <c r="L106" s="21">
        <v>2</v>
      </c>
      <c r="M106" s="21">
        <f t="shared" si="6"/>
        <v>1</v>
      </c>
      <c r="N106" s="16" t="str">
        <f t="shared" si="7"/>
        <v>Minor</v>
      </c>
      <c r="O106" s="21">
        <f t="shared" si="8"/>
        <v>2</v>
      </c>
      <c r="P106" s="21">
        <f t="shared" si="9"/>
        <v>2</v>
      </c>
      <c r="Q106" s="16" t="str">
        <f t="shared" si="10"/>
        <v>Development Needed</v>
      </c>
      <c r="R106" s="16" t="s">
        <v>228</v>
      </c>
      <c r="S106" s="23">
        <v>45683.710535752318</v>
      </c>
      <c r="T106" s="25">
        <f t="shared" ca="1" si="11"/>
        <v>518.28946424768219</v>
      </c>
      <c r="U106" s="16" t="s">
        <v>223</v>
      </c>
      <c r="V106" s="16" t="s">
        <v>233</v>
      </c>
      <c r="W106" s="6" t="str">
        <f ca="1">IF(R106="Missing","Missing evidence",IF(T106&gt;365,"Stale assessment",IF(COUNTIFS($B$2:$B$264,B106,$G$2:$G$264,G106)&gt;1,"Duplicate competency record",IF(INDEX(employees!$H$2:$H$37,MATCH(B106,employees!$A$2:$A$37,0))="Inactive","Inactive account","OK"))))</f>
        <v>Stale assessment</v>
      </c>
    </row>
    <row r="107" spans="1:23" ht="15" customHeight="1">
      <c r="A107" s="5" t="s">
        <v>336</v>
      </c>
      <c r="B107" s="16" t="s">
        <v>95</v>
      </c>
      <c r="C107" s="16" t="str">
        <f>IFERROR(INDEX(employees!$B$2:$B$37,MATCH(B107,employees!$A$2:$A$37,0)),"")</f>
        <v>Alex Taylor</v>
      </c>
      <c r="D107" s="16" t="str">
        <f>IFERROR(INDEX(employees!$C$2:$C$37,MATCH(B107,employees!$A$2:$A$37,0)),"")</f>
        <v>Chief Engineer Office</v>
      </c>
      <c r="E107" s="16" t="str">
        <f>IFERROR(INDEX(employees!$D$2:$D$37,MATCH(B107,employees!$A$2:$A$37,0)),"")</f>
        <v>Software Engineering</v>
      </c>
      <c r="F107" s="16" t="str">
        <f>IFERROR(INDEX(employees!$E$2:$E$37,MATCH(B107,employees!$A$2:$A$37,0)),"")</f>
        <v>Lead Engineer</v>
      </c>
      <c r="G107" s="16" t="s">
        <v>189</v>
      </c>
      <c r="H107" s="16" t="str">
        <f>IFERROR(INDEX(competency_model!$C$2:$C$25,MATCH(G107,competency_model!$A$2:$A$25,0)),"")</f>
        <v>Data Quality</v>
      </c>
      <c r="I107" s="16" t="str">
        <f>IFERROR(INDEX(competency_model!$D$2:$D$25,MATCH(G107,competency_model!$A$2:$A$25,0)),"")</f>
        <v>Duplicate and Missing Value Checks</v>
      </c>
      <c r="J107" s="16">
        <f>IFERROR(INDEX(competency_model!$F$2:$F$25,MATCH(G107,competency_model!$A$2:$A$25,0)),"")</f>
        <v>4</v>
      </c>
      <c r="K107" s="16" t="str">
        <f>IFERROR(INDEX(competency_model!$G$2:$G$25,MATCH(G107,competency_model!$A$2:$A$25,0)),"")</f>
        <v>High</v>
      </c>
      <c r="L107" s="21">
        <v>4</v>
      </c>
      <c r="M107" s="21">
        <f t="shared" si="6"/>
        <v>0</v>
      </c>
      <c r="N107" s="16" t="str">
        <f t="shared" si="7"/>
        <v>No Gap</v>
      </c>
      <c r="O107" s="21">
        <f t="shared" si="8"/>
        <v>3</v>
      </c>
      <c r="P107" s="21">
        <f t="shared" si="9"/>
        <v>0</v>
      </c>
      <c r="Q107" s="16" t="str">
        <f t="shared" si="10"/>
        <v>Ready</v>
      </c>
      <c r="R107" s="16" t="s">
        <v>228</v>
      </c>
      <c r="S107" s="23">
        <v>45974.479717326387</v>
      </c>
      <c r="T107" s="25">
        <f t="shared" ca="1" si="11"/>
        <v>227.52028267361311</v>
      </c>
      <c r="U107" s="16" t="s">
        <v>229</v>
      </c>
      <c r="V107" s="16" t="s">
        <v>239</v>
      </c>
      <c r="W107" s="6" t="str">
        <f ca="1">IF(R107="Missing","Missing evidence",IF(T107&gt;365,"Stale assessment",IF(COUNTIFS($B$2:$B$264,B107,$G$2:$G$264,G107)&gt;1,"Duplicate competency record",IF(INDEX(employees!$H$2:$H$37,MATCH(B107,employees!$A$2:$A$37,0))="Inactive","Inactive account","OK"))))</f>
        <v>OK</v>
      </c>
    </row>
    <row r="108" spans="1:23" ht="15" customHeight="1">
      <c r="A108" s="5" t="s">
        <v>337</v>
      </c>
      <c r="B108" s="16" t="s">
        <v>95</v>
      </c>
      <c r="C108" s="16" t="str">
        <f>IFERROR(INDEX(employees!$B$2:$B$37,MATCH(B108,employees!$A$2:$A$37,0)),"")</f>
        <v>Alex Taylor</v>
      </c>
      <c r="D108" s="16" t="str">
        <f>IFERROR(INDEX(employees!$C$2:$C$37,MATCH(B108,employees!$A$2:$A$37,0)),"")</f>
        <v>Chief Engineer Office</v>
      </c>
      <c r="E108" s="16" t="str">
        <f>IFERROR(INDEX(employees!$D$2:$D$37,MATCH(B108,employees!$A$2:$A$37,0)),"")</f>
        <v>Software Engineering</v>
      </c>
      <c r="F108" s="16" t="str">
        <f>IFERROR(INDEX(employees!$E$2:$E$37,MATCH(B108,employees!$A$2:$A$37,0)),"")</f>
        <v>Lead Engineer</v>
      </c>
      <c r="G108" s="16" t="s">
        <v>149</v>
      </c>
      <c r="H108" s="16" t="str">
        <f>IFERROR(INDEX(competency_model!$C$2:$C$25,MATCH(G108,competency_model!$A$2:$A$25,0)),"")</f>
        <v>Data Analysis</v>
      </c>
      <c r="I108" s="16" t="str">
        <f>IFERROR(INDEX(competency_model!$D$2:$D$25,MATCH(G108,competency_model!$A$2:$A$25,0)),"")</f>
        <v>Python Data Cleaning</v>
      </c>
      <c r="J108" s="16">
        <f>IFERROR(INDEX(competency_model!$F$2:$F$25,MATCH(G108,competency_model!$A$2:$A$25,0)),"")</f>
        <v>4</v>
      </c>
      <c r="K108" s="16" t="str">
        <f>IFERROR(INDEX(competency_model!$G$2:$G$25,MATCH(G108,competency_model!$A$2:$A$25,0)),"")</f>
        <v>High</v>
      </c>
      <c r="L108" s="21">
        <v>3</v>
      </c>
      <c r="M108" s="21">
        <f t="shared" si="6"/>
        <v>1</v>
      </c>
      <c r="N108" s="16" t="str">
        <f t="shared" si="7"/>
        <v>Minor</v>
      </c>
      <c r="O108" s="21">
        <f t="shared" si="8"/>
        <v>3</v>
      </c>
      <c r="P108" s="21">
        <f t="shared" si="9"/>
        <v>3</v>
      </c>
      <c r="Q108" s="16" t="str">
        <f t="shared" si="10"/>
        <v>Development Needed</v>
      </c>
      <c r="R108" s="16" t="s">
        <v>222</v>
      </c>
      <c r="S108" s="23">
        <v>45991.389613877313</v>
      </c>
      <c r="T108" s="25">
        <f t="shared" ca="1" si="11"/>
        <v>210.61038612268749</v>
      </c>
      <c r="U108" s="16" t="s">
        <v>223</v>
      </c>
      <c r="V108" s="16"/>
      <c r="W108" s="6" t="str">
        <f>IF(R108="Missing","Missing evidence",IF(T108&gt;365,"Stale assessment",IF(COUNTIFS($B$2:$B$264,B108,$G$2:$G$264,G108)&gt;1,"Duplicate competency record",IF(INDEX(employees!$H$2:$H$37,MATCH(B108,employees!$A$2:$A$37,0))="Inactive","Inactive account","OK"))))</f>
        <v>Missing evidence</v>
      </c>
    </row>
    <row r="109" spans="1:23" ht="15" customHeight="1">
      <c r="A109" s="5" t="s">
        <v>338</v>
      </c>
      <c r="B109" s="16" t="s">
        <v>95</v>
      </c>
      <c r="C109" s="16" t="str">
        <f>IFERROR(INDEX(employees!$B$2:$B$37,MATCH(B109,employees!$A$2:$A$37,0)),"")</f>
        <v>Alex Taylor</v>
      </c>
      <c r="D109" s="16" t="str">
        <f>IFERROR(INDEX(employees!$C$2:$C$37,MATCH(B109,employees!$A$2:$A$37,0)),"")</f>
        <v>Chief Engineer Office</v>
      </c>
      <c r="E109" s="16" t="str">
        <f>IFERROR(INDEX(employees!$D$2:$D$37,MATCH(B109,employees!$A$2:$A$37,0)),"")</f>
        <v>Software Engineering</v>
      </c>
      <c r="F109" s="16" t="str">
        <f>IFERROR(INDEX(employees!$E$2:$E$37,MATCH(B109,employees!$A$2:$A$37,0)),"")</f>
        <v>Lead Engineer</v>
      </c>
      <c r="G109" s="16" t="s">
        <v>154</v>
      </c>
      <c r="H109" s="16" t="str">
        <f>IFERROR(INDEX(competency_model!$C$2:$C$25,MATCH(G109,competency_model!$A$2:$A$25,0)),"")</f>
        <v>Excel Reporting</v>
      </c>
      <c r="I109" s="16" t="str">
        <f>IFERROR(INDEX(competency_model!$D$2:$D$25,MATCH(G109,competency_model!$A$2:$A$25,0)),"")</f>
        <v>PivotTables and Power Query</v>
      </c>
      <c r="J109" s="16">
        <f>IFERROR(INDEX(competency_model!$F$2:$F$25,MATCH(G109,competency_model!$A$2:$A$25,0)),"")</f>
        <v>4</v>
      </c>
      <c r="K109" s="16" t="str">
        <f>IFERROR(INDEX(competency_model!$G$2:$G$25,MATCH(G109,competency_model!$A$2:$A$25,0)),"")</f>
        <v>High</v>
      </c>
      <c r="L109" s="21">
        <v>3</v>
      </c>
      <c r="M109" s="21">
        <f t="shared" si="6"/>
        <v>1</v>
      </c>
      <c r="N109" s="16" t="str">
        <f t="shared" si="7"/>
        <v>Minor</v>
      </c>
      <c r="O109" s="21">
        <f t="shared" si="8"/>
        <v>3</v>
      </c>
      <c r="P109" s="21">
        <f t="shared" si="9"/>
        <v>3</v>
      </c>
      <c r="Q109" s="16" t="str">
        <f t="shared" si="10"/>
        <v>Development Needed</v>
      </c>
      <c r="R109" s="16" t="s">
        <v>228</v>
      </c>
      <c r="S109" s="23">
        <v>46033.902703067128</v>
      </c>
      <c r="T109" s="25">
        <f t="shared" ca="1" si="11"/>
        <v>168.09729693287227</v>
      </c>
      <c r="U109" s="16" t="s">
        <v>242</v>
      </c>
      <c r="V109" s="16"/>
      <c r="W109" s="6" t="str">
        <f ca="1">IF(R109="Missing","Missing evidence",IF(T109&gt;365,"Stale assessment",IF(COUNTIFS($B$2:$B$264,B109,$G$2:$G$264,G109)&gt;1,"Duplicate competency record",IF(INDEX(employees!$H$2:$H$37,MATCH(B109,employees!$A$2:$A$37,0))="Inactive","Inactive account","OK"))))</f>
        <v>OK</v>
      </c>
    </row>
    <row r="110" spans="1:23" ht="15" customHeight="1">
      <c r="A110" s="5" t="s">
        <v>339</v>
      </c>
      <c r="B110" s="16" t="s">
        <v>95</v>
      </c>
      <c r="C110" s="16" t="str">
        <f>IFERROR(INDEX(employees!$B$2:$B$37,MATCH(B110,employees!$A$2:$A$37,0)),"")</f>
        <v>Alex Taylor</v>
      </c>
      <c r="D110" s="16" t="str">
        <f>IFERROR(INDEX(employees!$C$2:$C$37,MATCH(B110,employees!$A$2:$A$37,0)),"")</f>
        <v>Chief Engineer Office</v>
      </c>
      <c r="E110" s="16" t="str">
        <f>IFERROR(INDEX(employees!$D$2:$D$37,MATCH(B110,employees!$A$2:$A$37,0)),"")</f>
        <v>Software Engineering</v>
      </c>
      <c r="F110" s="16" t="str">
        <f>IFERROR(INDEX(employees!$E$2:$E$37,MATCH(B110,employees!$A$2:$A$37,0)),"")</f>
        <v>Lead Engineer</v>
      </c>
      <c r="G110" s="16" t="s">
        <v>151</v>
      </c>
      <c r="H110" s="16" t="str">
        <f>IFERROR(INDEX(competency_model!$C$2:$C$25,MATCH(G110,competency_model!$A$2:$A$25,0)),"")</f>
        <v>Data Analysis</v>
      </c>
      <c r="I110" s="16" t="str">
        <f>IFERROR(INDEX(competency_model!$D$2:$D$25,MATCH(G110,competency_model!$A$2:$A$25,0)),"")</f>
        <v>SQL Querying</v>
      </c>
      <c r="J110" s="16">
        <f>IFERROR(INDEX(competency_model!$F$2:$F$25,MATCH(G110,competency_model!$A$2:$A$25,0)),"")</f>
        <v>3</v>
      </c>
      <c r="K110" s="16" t="str">
        <f>IFERROR(INDEX(competency_model!$G$2:$G$25,MATCH(G110,competency_model!$A$2:$A$25,0)),"")</f>
        <v>Medium</v>
      </c>
      <c r="L110" s="21">
        <v>2</v>
      </c>
      <c r="M110" s="21">
        <f t="shared" si="6"/>
        <v>1</v>
      </c>
      <c r="N110" s="16" t="str">
        <f t="shared" si="7"/>
        <v>Minor</v>
      </c>
      <c r="O110" s="21">
        <f t="shared" si="8"/>
        <v>2</v>
      </c>
      <c r="P110" s="21">
        <f t="shared" si="9"/>
        <v>2</v>
      </c>
      <c r="Q110" s="16" t="str">
        <f t="shared" si="10"/>
        <v>Development Needed</v>
      </c>
      <c r="R110" s="16" t="s">
        <v>225</v>
      </c>
      <c r="S110" s="23">
        <v>46031.885768298613</v>
      </c>
      <c r="T110" s="25">
        <f t="shared" ca="1" si="11"/>
        <v>170.11423170138733</v>
      </c>
      <c r="U110" s="16" t="s">
        <v>229</v>
      </c>
      <c r="V110" s="16" t="s">
        <v>226</v>
      </c>
      <c r="W110" s="6" t="str">
        <f ca="1">IF(R110="Missing","Missing evidence",IF(T110&gt;365,"Stale assessment",IF(COUNTIFS($B$2:$B$264,B110,$G$2:$G$264,G110)&gt;1,"Duplicate competency record",IF(INDEX(employees!$H$2:$H$37,MATCH(B110,employees!$A$2:$A$37,0))="Inactive","Inactive account","OK"))))</f>
        <v>OK</v>
      </c>
    </row>
    <row r="111" spans="1:23" ht="15" customHeight="1">
      <c r="A111" s="5" t="s">
        <v>340</v>
      </c>
      <c r="B111" s="16" t="s">
        <v>95</v>
      </c>
      <c r="C111" s="16" t="str">
        <f>IFERROR(INDEX(employees!$B$2:$B$37,MATCH(B111,employees!$A$2:$A$37,0)),"")</f>
        <v>Alex Taylor</v>
      </c>
      <c r="D111" s="16" t="str">
        <f>IFERROR(INDEX(employees!$C$2:$C$37,MATCH(B111,employees!$A$2:$A$37,0)),"")</f>
        <v>Chief Engineer Office</v>
      </c>
      <c r="E111" s="16" t="str">
        <f>IFERROR(INDEX(employees!$D$2:$D$37,MATCH(B111,employees!$A$2:$A$37,0)),"")</f>
        <v>Software Engineering</v>
      </c>
      <c r="F111" s="16" t="str">
        <f>IFERROR(INDEX(employees!$E$2:$E$37,MATCH(B111,employees!$A$2:$A$37,0)),"")</f>
        <v>Lead Engineer</v>
      </c>
      <c r="G111" s="16" t="s">
        <v>163</v>
      </c>
      <c r="H111" s="16" t="str">
        <f>IFERROR(INDEX(competency_model!$C$2:$C$25,MATCH(G111,competency_model!$A$2:$A$25,0)),"")</f>
        <v>Engineering Documentation</v>
      </c>
      <c r="I111" s="16" t="str">
        <f>IFERROR(INDEX(competency_model!$D$2:$D$25,MATCH(G111,competency_model!$A$2:$A$25,0)),"")</f>
        <v>Technical Documentation</v>
      </c>
      <c r="J111" s="16">
        <f>IFERROR(INDEX(competency_model!$F$2:$F$25,MATCH(G111,competency_model!$A$2:$A$25,0)),"")</f>
        <v>4</v>
      </c>
      <c r="K111" s="16" t="str">
        <f>IFERROR(INDEX(competency_model!$G$2:$G$25,MATCH(G111,competency_model!$A$2:$A$25,0)),"")</f>
        <v>High</v>
      </c>
      <c r="L111" s="21">
        <v>5</v>
      </c>
      <c r="M111" s="21">
        <f t="shared" si="6"/>
        <v>0</v>
      </c>
      <c r="N111" s="16" t="str">
        <f t="shared" si="7"/>
        <v>No Gap</v>
      </c>
      <c r="O111" s="21">
        <f t="shared" si="8"/>
        <v>3</v>
      </c>
      <c r="P111" s="21">
        <f t="shared" si="9"/>
        <v>0</v>
      </c>
      <c r="Q111" s="16" t="str">
        <f t="shared" si="10"/>
        <v>Ready</v>
      </c>
      <c r="R111" s="16" t="s">
        <v>222</v>
      </c>
      <c r="S111" s="23">
        <v>46078.431080034723</v>
      </c>
      <c r="T111" s="25">
        <f t="shared" ca="1" si="11"/>
        <v>123.56891996527702</v>
      </c>
      <c r="U111" s="16" t="s">
        <v>242</v>
      </c>
      <c r="V111" s="16" t="s">
        <v>233</v>
      </c>
      <c r="W111" s="6" t="str">
        <f>IF(R111="Missing","Missing evidence",IF(T111&gt;365,"Stale assessment",IF(COUNTIFS($B$2:$B$264,B111,$G$2:$G$264,G111)&gt;1,"Duplicate competency record",IF(INDEX(employees!$H$2:$H$37,MATCH(B111,employees!$A$2:$A$37,0))="Inactive","Inactive account","OK"))))</f>
        <v>Missing evidence</v>
      </c>
    </row>
    <row r="112" spans="1:23" ht="15" customHeight="1">
      <c r="A112" s="5" t="s">
        <v>341</v>
      </c>
      <c r="B112" s="16" t="s">
        <v>95</v>
      </c>
      <c r="C112" s="16" t="str">
        <f>IFERROR(INDEX(employees!$B$2:$B$37,MATCH(B112,employees!$A$2:$A$37,0)),"")</f>
        <v>Alex Taylor</v>
      </c>
      <c r="D112" s="16" t="str">
        <f>IFERROR(INDEX(employees!$C$2:$C$37,MATCH(B112,employees!$A$2:$A$37,0)),"")</f>
        <v>Chief Engineer Office</v>
      </c>
      <c r="E112" s="16" t="str">
        <f>IFERROR(INDEX(employees!$D$2:$D$37,MATCH(B112,employees!$A$2:$A$37,0)),"")</f>
        <v>Software Engineering</v>
      </c>
      <c r="F112" s="16" t="str">
        <f>IFERROR(INDEX(employees!$E$2:$E$37,MATCH(B112,employees!$A$2:$A$37,0)),"")</f>
        <v>Lead Engineer</v>
      </c>
      <c r="G112" s="16" t="s">
        <v>160</v>
      </c>
      <c r="H112" s="16" t="str">
        <f>IFERROR(INDEX(competency_model!$C$2:$C$25,MATCH(G112,competency_model!$A$2:$A$25,0)),"")</f>
        <v>PowerPoint Presentation</v>
      </c>
      <c r="I112" s="16" t="str">
        <f>IFERROR(INDEX(competency_model!$D$2:$D$25,MATCH(G112,competency_model!$A$2:$A$25,0)),"")</f>
        <v>Leadership Storytelling</v>
      </c>
      <c r="J112" s="16">
        <f>IFERROR(INDEX(competency_model!$F$2:$F$25,MATCH(G112,competency_model!$A$2:$A$25,0)),"")</f>
        <v>3</v>
      </c>
      <c r="K112" s="16" t="str">
        <f>IFERROR(INDEX(competency_model!$G$2:$G$25,MATCH(G112,competency_model!$A$2:$A$25,0)),"")</f>
        <v>Medium</v>
      </c>
      <c r="L112" s="21">
        <v>1</v>
      </c>
      <c r="M112" s="21">
        <f t="shared" si="6"/>
        <v>2</v>
      </c>
      <c r="N112" s="16" t="str">
        <f t="shared" si="7"/>
        <v>Moderate</v>
      </c>
      <c r="O112" s="21">
        <f t="shared" si="8"/>
        <v>2</v>
      </c>
      <c r="P112" s="21">
        <f t="shared" si="9"/>
        <v>4</v>
      </c>
      <c r="Q112" s="16" t="str">
        <f t="shared" si="10"/>
        <v>Development Needed</v>
      </c>
      <c r="R112" s="16" t="s">
        <v>228</v>
      </c>
      <c r="S112" s="23">
        <v>46164.42696167824</v>
      </c>
      <c r="T112" s="25">
        <f t="shared" ca="1" si="11"/>
        <v>37.573038321759668</v>
      </c>
      <c r="U112" s="16" t="s">
        <v>242</v>
      </c>
      <c r="V112" s="16" t="s">
        <v>231</v>
      </c>
      <c r="W112" s="6" t="str">
        <f ca="1">IF(R112="Missing","Missing evidence",IF(T112&gt;365,"Stale assessment",IF(COUNTIFS($B$2:$B$264,B112,$G$2:$G$264,G112)&gt;1,"Duplicate competency record",IF(INDEX(employees!$H$2:$H$37,MATCH(B112,employees!$A$2:$A$37,0))="Inactive","Inactive account","OK"))))</f>
        <v>OK</v>
      </c>
    </row>
    <row r="113" spans="1:23" ht="15" customHeight="1">
      <c r="A113" s="5" t="s">
        <v>342</v>
      </c>
      <c r="B113" s="16" t="s">
        <v>95</v>
      </c>
      <c r="C113" s="16" t="str">
        <f>IFERROR(INDEX(employees!$B$2:$B$37,MATCH(B113,employees!$A$2:$A$37,0)),"")</f>
        <v>Alex Taylor</v>
      </c>
      <c r="D113" s="16" t="str">
        <f>IFERROR(INDEX(employees!$C$2:$C$37,MATCH(B113,employees!$A$2:$A$37,0)),"")</f>
        <v>Chief Engineer Office</v>
      </c>
      <c r="E113" s="16" t="str">
        <f>IFERROR(INDEX(employees!$D$2:$D$37,MATCH(B113,employees!$A$2:$A$37,0)),"")</f>
        <v>Software Engineering</v>
      </c>
      <c r="F113" s="16" t="str">
        <f>IFERROR(INDEX(employees!$E$2:$E$37,MATCH(B113,employees!$A$2:$A$37,0)),"")</f>
        <v>Lead Engineer</v>
      </c>
      <c r="G113" s="16" t="s">
        <v>175</v>
      </c>
      <c r="H113" s="16" t="str">
        <f>IFERROR(INDEX(competency_model!$C$2:$C$25,MATCH(G113,competency_model!$A$2:$A$25,0)),"")</f>
        <v>Safety / Compliance</v>
      </c>
      <c r="I113" s="16" t="str">
        <f>IFERROR(INDEX(competency_model!$D$2:$D$25,MATCH(G113,competency_model!$A$2:$A$25,0)),"")</f>
        <v>Engineering Safety Awareness</v>
      </c>
      <c r="J113" s="16">
        <f>IFERROR(INDEX(competency_model!$F$2:$F$25,MATCH(G113,competency_model!$A$2:$A$25,0)),"")</f>
        <v>4</v>
      </c>
      <c r="K113" s="16" t="str">
        <f>IFERROR(INDEX(competency_model!$G$2:$G$25,MATCH(G113,competency_model!$A$2:$A$25,0)),"")</f>
        <v>High</v>
      </c>
      <c r="L113" s="21">
        <v>4</v>
      </c>
      <c r="M113" s="21">
        <f t="shared" si="6"/>
        <v>0</v>
      </c>
      <c r="N113" s="16" t="str">
        <f t="shared" si="7"/>
        <v>No Gap</v>
      </c>
      <c r="O113" s="21">
        <f t="shared" si="8"/>
        <v>3</v>
      </c>
      <c r="P113" s="21">
        <f t="shared" si="9"/>
        <v>0</v>
      </c>
      <c r="Q113" s="16" t="str">
        <f t="shared" si="10"/>
        <v>Ready</v>
      </c>
      <c r="R113" s="16" t="s">
        <v>228</v>
      </c>
      <c r="S113" s="23">
        <v>46140.795950995373</v>
      </c>
      <c r="T113" s="25">
        <f t="shared" ca="1" si="11"/>
        <v>61.20404900462745</v>
      </c>
      <c r="U113" s="16" t="s">
        <v>229</v>
      </c>
      <c r="V113" s="16" t="s">
        <v>226</v>
      </c>
      <c r="W113" s="6" t="str">
        <f ca="1">IF(R113="Missing","Missing evidence",IF(T113&gt;365,"Stale assessment",IF(COUNTIFS($B$2:$B$264,B113,$G$2:$G$264,G113)&gt;1,"Duplicate competency record",IF(INDEX(employees!$H$2:$H$37,MATCH(B113,employees!$A$2:$A$37,0))="Inactive","Inactive account","OK"))))</f>
        <v>OK</v>
      </c>
    </row>
    <row r="114" spans="1:23" ht="15" customHeight="1">
      <c r="A114" s="5" t="s">
        <v>343</v>
      </c>
      <c r="B114" s="16" t="s">
        <v>98</v>
      </c>
      <c r="C114" s="16" t="str">
        <f>IFERROR(INDEX(employees!$B$2:$B$37,MATCH(B114,employees!$A$2:$A$37,0)),"")</f>
        <v>Morgan Walker</v>
      </c>
      <c r="D114" s="16" t="str">
        <f>IFERROR(INDEX(employees!$C$2:$C$37,MATCH(B114,employees!$A$2:$A$37,0)),"")</f>
        <v>Grid Automation</v>
      </c>
      <c r="E114" s="16" t="str">
        <f>IFERROR(INDEX(employees!$D$2:$D$37,MATCH(B114,employees!$A$2:$A$37,0)),"")</f>
        <v>Testing &amp; Validation</v>
      </c>
      <c r="F114" s="16" t="str">
        <f>IFERROR(INDEX(employees!$E$2:$E$37,MATCH(B114,employees!$A$2:$A$37,0)),"")</f>
        <v>Senior Engineer</v>
      </c>
      <c r="G114" s="16" t="s">
        <v>154</v>
      </c>
      <c r="H114" s="16" t="str">
        <f>IFERROR(INDEX(competency_model!$C$2:$C$25,MATCH(G114,competency_model!$A$2:$A$25,0)),"")</f>
        <v>Excel Reporting</v>
      </c>
      <c r="I114" s="16" t="str">
        <f>IFERROR(INDEX(competency_model!$D$2:$D$25,MATCH(G114,competency_model!$A$2:$A$25,0)),"")</f>
        <v>PivotTables and Power Query</v>
      </c>
      <c r="J114" s="16">
        <f>IFERROR(INDEX(competency_model!$F$2:$F$25,MATCH(G114,competency_model!$A$2:$A$25,0)),"")</f>
        <v>4</v>
      </c>
      <c r="K114" s="16" t="str">
        <f>IFERROR(INDEX(competency_model!$G$2:$G$25,MATCH(G114,competency_model!$A$2:$A$25,0)),"")</f>
        <v>High</v>
      </c>
      <c r="L114" s="21">
        <v>3</v>
      </c>
      <c r="M114" s="21">
        <f t="shared" si="6"/>
        <v>1</v>
      </c>
      <c r="N114" s="16" t="str">
        <f t="shared" si="7"/>
        <v>Minor</v>
      </c>
      <c r="O114" s="21">
        <f t="shared" si="8"/>
        <v>3</v>
      </c>
      <c r="P114" s="21">
        <f t="shared" si="9"/>
        <v>3</v>
      </c>
      <c r="Q114" s="16" t="str">
        <f t="shared" si="10"/>
        <v>Development Needed</v>
      </c>
      <c r="R114" s="16" t="s">
        <v>225</v>
      </c>
      <c r="S114" s="23">
        <v>46132.801693298614</v>
      </c>
      <c r="T114" s="25">
        <f t="shared" ca="1" si="11"/>
        <v>69.198306701386173</v>
      </c>
      <c r="U114" s="16" t="s">
        <v>223</v>
      </c>
      <c r="V114" s="16"/>
      <c r="W114" s="6" t="str">
        <f ca="1">IF(R114="Missing","Missing evidence",IF(T114&gt;365,"Stale assessment",IF(COUNTIFS($B$2:$B$264,B114,$G$2:$G$264,G114)&gt;1,"Duplicate competency record",IF(INDEX(employees!$H$2:$H$37,MATCH(B114,employees!$A$2:$A$37,0))="Inactive","Inactive account","OK"))))</f>
        <v>OK</v>
      </c>
    </row>
    <row r="115" spans="1:23" ht="15" customHeight="1">
      <c r="A115" s="5" t="s">
        <v>344</v>
      </c>
      <c r="B115" s="16" t="s">
        <v>98</v>
      </c>
      <c r="C115" s="16" t="str">
        <f>IFERROR(INDEX(employees!$B$2:$B$37,MATCH(B115,employees!$A$2:$A$37,0)),"")</f>
        <v>Morgan Walker</v>
      </c>
      <c r="D115" s="16" t="str">
        <f>IFERROR(INDEX(employees!$C$2:$C$37,MATCH(B115,employees!$A$2:$A$37,0)),"")</f>
        <v>Grid Automation</v>
      </c>
      <c r="E115" s="16" t="str">
        <f>IFERROR(INDEX(employees!$D$2:$D$37,MATCH(B115,employees!$A$2:$A$37,0)),"")</f>
        <v>Testing &amp; Validation</v>
      </c>
      <c r="F115" s="16" t="str">
        <f>IFERROR(INDEX(employees!$E$2:$E$37,MATCH(B115,employees!$A$2:$A$37,0)),"")</f>
        <v>Senior Engineer</v>
      </c>
      <c r="G115" s="16" t="s">
        <v>160</v>
      </c>
      <c r="H115" s="16" t="str">
        <f>IFERROR(INDEX(competency_model!$C$2:$C$25,MATCH(G115,competency_model!$A$2:$A$25,0)),"")</f>
        <v>PowerPoint Presentation</v>
      </c>
      <c r="I115" s="16" t="str">
        <f>IFERROR(INDEX(competency_model!$D$2:$D$25,MATCH(G115,competency_model!$A$2:$A$25,0)),"")</f>
        <v>Leadership Storytelling</v>
      </c>
      <c r="J115" s="16">
        <f>IFERROR(INDEX(competency_model!$F$2:$F$25,MATCH(G115,competency_model!$A$2:$A$25,0)),"")</f>
        <v>3</v>
      </c>
      <c r="K115" s="16" t="str">
        <f>IFERROR(INDEX(competency_model!$G$2:$G$25,MATCH(G115,competency_model!$A$2:$A$25,0)),"")</f>
        <v>Medium</v>
      </c>
      <c r="L115" s="21">
        <v>1</v>
      </c>
      <c r="M115" s="21">
        <f t="shared" si="6"/>
        <v>2</v>
      </c>
      <c r="N115" s="16" t="str">
        <f t="shared" si="7"/>
        <v>Moderate</v>
      </c>
      <c r="O115" s="21">
        <f t="shared" si="8"/>
        <v>2</v>
      </c>
      <c r="P115" s="21">
        <f t="shared" si="9"/>
        <v>4</v>
      </c>
      <c r="Q115" s="16" t="str">
        <f t="shared" si="10"/>
        <v>Development Needed</v>
      </c>
      <c r="R115" s="16" t="s">
        <v>228</v>
      </c>
      <c r="S115" s="23">
        <v>45994.335621527774</v>
      </c>
      <c r="T115" s="25">
        <f t="shared" ca="1" si="11"/>
        <v>207.66437847222551</v>
      </c>
      <c r="U115" s="16" t="s">
        <v>223</v>
      </c>
      <c r="V115" s="16"/>
      <c r="W115" s="6" t="str">
        <f ca="1">IF(R115="Missing","Missing evidence",IF(T115&gt;365,"Stale assessment",IF(COUNTIFS($B$2:$B$264,B115,$G$2:$G$264,G115)&gt;1,"Duplicate competency record",IF(INDEX(employees!$H$2:$H$37,MATCH(B115,employees!$A$2:$A$37,0))="Inactive","Inactive account","OK"))))</f>
        <v>OK</v>
      </c>
    </row>
    <row r="116" spans="1:23" ht="15" customHeight="1">
      <c r="A116" s="5" t="s">
        <v>345</v>
      </c>
      <c r="B116" s="16" t="s">
        <v>98</v>
      </c>
      <c r="C116" s="16" t="str">
        <f>IFERROR(INDEX(employees!$B$2:$B$37,MATCH(B116,employees!$A$2:$A$37,0)),"")</f>
        <v>Morgan Walker</v>
      </c>
      <c r="D116" s="16" t="str">
        <f>IFERROR(INDEX(employees!$C$2:$C$37,MATCH(B116,employees!$A$2:$A$37,0)),"")</f>
        <v>Grid Automation</v>
      </c>
      <c r="E116" s="16" t="str">
        <f>IFERROR(INDEX(employees!$D$2:$D$37,MATCH(B116,employees!$A$2:$A$37,0)),"")</f>
        <v>Testing &amp; Validation</v>
      </c>
      <c r="F116" s="16" t="str">
        <f>IFERROR(INDEX(employees!$E$2:$E$37,MATCH(B116,employees!$A$2:$A$37,0)),"")</f>
        <v>Senior Engineer</v>
      </c>
      <c r="G116" s="16" t="s">
        <v>163</v>
      </c>
      <c r="H116" s="16" t="str">
        <f>IFERROR(INDEX(competency_model!$C$2:$C$25,MATCH(G116,competency_model!$A$2:$A$25,0)),"")</f>
        <v>Engineering Documentation</v>
      </c>
      <c r="I116" s="16" t="str">
        <f>IFERROR(INDEX(competency_model!$D$2:$D$25,MATCH(G116,competency_model!$A$2:$A$25,0)),"")</f>
        <v>Technical Documentation</v>
      </c>
      <c r="J116" s="16">
        <f>IFERROR(INDEX(competency_model!$F$2:$F$25,MATCH(G116,competency_model!$A$2:$A$25,0)),"")</f>
        <v>4</v>
      </c>
      <c r="K116" s="16" t="str">
        <f>IFERROR(INDEX(competency_model!$G$2:$G$25,MATCH(G116,competency_model!$A$2:$A$25,0)),"")</f>
        <v>High</v>
      </c>
      <c r="L116" s="21">
        <v>1</v>
      </c>
      <c r="M116" s="21">
        <f t="shared" si="6"/>
        <v>3</v>
      </c>
      <c r="N116" s="16" t="str">
        <f t="shared" si="7"/>
        <v>Critical</v>
      </c>
      <c r="O116" s="21">
        <f t="shared" si="8"/>
        <v>3</v>
      </c>
      <c r="P116" s="21">
        <f t="shared" si="9"/>
        <v>9</v>
      </c>
      <c r="Q116" s="16" t="str">
        <f t="shared" si="10"/>
        <v>Development Needed</v>
      </c>
      <c r="R116" s="16" t="s">
        <v>225</v>
      </c>
      <c r="S116" s="23">
        <v>46024.680909328701</v>
      </c>
      <c r="T116" s="25">
        <f t="shared" ca="1" si="11"/>
        <v>177.31909067129891</v>
      </c>
      <c r="U116" s="16" t="s">
        <v>229</v>
      </c>
      <c r="V116" s="16"/>
      <c r="W116" s="6" t="str">
        <f ca="1">IF(R116="Missing","Missing evidence",IF(T116&gt;365,"Stale assessment",IF(COUNTIFS($B$2:$B$264,B116,$G$2:$G$264,G116)&gt;1,"Duplicate competency record",IF(INDEX(employees!$H$2:$H$37,MATCH(B116,employees!$A$2:$A$37,0))="Inactive","Inactive account","OK"))))</f>
        <v>OK</v>
      </c>
    </row>
    <row r="117" spans="1:23" ht="15" customHeight="1">
      <c r="A117" s="5" t="s">
        <v>346</v>
      </c>
      <c r="B117" s="16" t="s">
        <v>98</v>
      </c>
      <c r="C117" s="16" t="str">
        <f>IFERROR(INDEX(employees!$B$2:$B$37,MATCH(B117,employees!$A$2:$A$37,0)),"")</f>
        <v>Morgan Walker</v>
      </c>
      <c r="D117" s="16" t="str">
        <f>IFERROR(INDEX(employees!$C$2:$C$37,MATCH(B117,employees!$A$2:$A$37,0)),"")</f>
        <v>Grid Automation</v>
      </c>
      <c r="E117" s="16" t="str">
        <f>IFERROR(INDEX(employees!$D$2:$D$37,MATCH(B117,employees!$A$2:$A$37,0)),"")</f>
        <v>Testing &amp; Validation</v>
      </c>
      <c r="F117" s="16" t="str">
        <f>IFERROR(INDEX(employees!$E$2:$E$37,MATCH(B117,employees!$A$2:$A$37,0)),"")</f>
        <v>Senior Engineer</v>
      </c>
      <c r="G117" s="16" t="s">
        <v>175</v>
      </c>
      <c r="H117" s="16" t="str">
        <f>IFERROR(INDEX(competency_model!$C$2:$C$25,MATCH(G117,competency_model!$A$2:$A$25,0)),"")</f>
        <v>Safety / Compliance</v>
      </c>
      <c r="I117" s="16" t="str">
        <f>IFERROR(INDEX(competency_model!$D$2:$D$25,MATCH(G117,competency_model!$A$2:$A$25,0)),"")</f>
        <v>Engineering Safety Awareness</v>
      </c>
      <c r="J117" s="16">
        <f>IFERROR(INDEX(competency_model!$F$2:$F$25,MATCH(G117,competency_model!$A$2:$A$25,0)),"")</f>
        <v>4</v>
      </c>
      <c r="K117" s="16" t="str">
        <f>IFERROR(INDEX(competency_model!$G$2:$G$25,MATCH(G117,competency_model!$A$2:$A$25,0)),"")</f>
        <v>High</v>
      </c>
      <c r="L117" s="21">
        <v>3</v>
      </c>
      <c r="M117" s="21">
        <f t="shared" si="6"/>
        <v>1</v>
      </c>
      <c r="N117" s="16" t="str">
        <f t="shared" si="7"/>
        <v>Minor</v>
      </c>
      <c r="O117" s="21">
        <f t="shared" si="8"/>
        <v>3</v>
      </c>
      <c r="P117" s="21">
        <f t="shared" si="9"/>
        <v>3</v>
      </c>
      <c r="Q117" s="16" t="str">
        <f t="shared" si="10"/>
        <v>Development Needed</v>
      </c>
      <c r="R117" s="16" t="s">
        <v>225</v>
      </c>
      <c r="S117" s="23">
        <v>46063.014524930557</v>
      </c>
      <c r="T117" s="25">
        <f t="shared" ca="1" si="11"/>
        <v>138.98547506944305</v>
      </c>
      <c r="U117" s="16" t="s">
        <v>223</v>
      </c>
      <c r="V117" s="16"/>
      <c r="W117" s="6" t="str">
        <f ca="1">IF(R117="Missing","Missing evidence",IF(T117&gt;365,"Stale assessment",IF(COUNTIFS($B$2:$B$264,B117,$G$2:$G$264,G117)&gt;1,"Duplicate competency record",IF(INDEX(employees!$H$2:$H$37,MATCH(B117,employees!$A$2:$A$37,0))="Inactive","Inactive account","OK"))))</f>
        <v>OK</v>
      </c>
    </row>
    <row r="118" spans="1:23" ht="15" customHeight="1">
      <c r="A118" s="5" t="s">
        <v>347</v>
      </c>
      <c r="B118" s="16" t="s">
        <v>98</v>
      </c>
      <c r="C118" s="16" t="str">
        <f>IFERROR(INDEX(employees!$B$2:$B$37,MATCH(B118,employees!$A$2:$A$37,0)),"")</f>
        <v>Morgan Walker</v>
      </c>
      <c r="D118" s="16" t="str">
        <f>IFERROR(INDEX(employees!$C$2:$C$37,MATCH(B118,employees!$A$2:$A$37,0)),"")</f>
        <v>Grid Automation</v>
      </c>
      <c r="E118" s="16" t="str">
        <f>IFERROR(INDEX(employees!$D$2:$D$37,MATCH(B118,employees!$A$2:$A$37,0)),"")</f>
        <v>Testing &amp; Validation</v>
      </c>
      <c r="F118" s="16" t="str">
        <f>IFERROR(INDEX(employees!$E$2:$E$37,MATCH(B118,employees!$A$2:$A$37,0)),"")</f>
        <v>Senior Engineer</v>
      </c>
      <c r="G118" s="16" t="s">
        <v>171</v>
      </c>
      <c r="H118" s="16" t="str">
        <f>IFERROR(INDEX(competency_model!$C$2:$C$25,MATCH(G118,competency_model!$A$2:$A$25,0)),"")</f>
        <v>Testing &amp; Validation</v>
      </c>
      <c r="I118" s="16" t="str">
        <f>IFERROR(INDEX(competency_model!$D$2:$D$25,MATCH(G118,competency_model!$A$2:$A$25,0)),"")</f>
        <v>Test Evidence Review</v>
      </c>
      <c r="J118" s="16">
        <f>IFERROR(INDEX(competency_model!$F$2:$F$25,MATCH(G118,competency_model!$A$2:$A$25,0)),"")</f>
        <v>4</v>
      </c>
      <c r="K118" s="16" t="str">
        <f>IFERROR(INDEX(competency_model!$G$2:$G$25,MATCH(G118,competency_model!$A$2:$A$25,0)),"")</f>
        <v>High</v>
      </c>
      <c r="L118" s="21">
        <v>2</v>
      </c>
      <c r="M118" s="21">
        <f t="shared" si="6"/>
        <v>2</v>
      </c>
      <c r="N118" s="16" t="str">
        <f t="shared" si="7"/>
        <v>Moderate</v>
      </c>
      <c r="O118" s="21">
        <f t="shared" si="8"/>
        <v>3</v>
      </c>
      <c r="P118" s="21">
        <f t="shared" si="9"/>
        <v>6</v>
      </c>
      <c r="Q118" s="16" t="str">
        <f t="shared" si="10"/>
        <v>Development Needed</v>
      </c>
      <c r="R118" s="16" t="s">
        <v>225</v>
      </c>
      <c r="S118" s="23">
        <v>46144.846854317133</v>
      </c>
      <c r="T118" s="25">
        <f t="shared" ca="1" si="11"/>
        <v>57.153145682867034</v>
      </c>
      <c r="U118" s="16" t="s">
        <v>223</v>
      </c>
      <c r="V118" s="16" t="s">
        <v>231</v>
      </c>
      <c r="W118" s="6" t="str">
        <f ca="1">IF(R118="Missing","Missing evidence",IF(T118&gt;365,"Stale assessment",IF(COUNTIFS($B$2:$B$264,B118,$G$2:$G$264,G118)&gt;1,"Duplicate competency record",IF(INDEX(employees!$H$2:$H$37,MATCH(B118,employees!$A$2:$A$37,0))="Inactive","Inactive account","OK"))))</f>
        <v>OK</v>
      </c>
    </row>
    <row r="119" spans="1:23" ht="15" customHeight="1">
      <c r="A119" s="5" t="s">
        <v>348</v>
      </c>
      <c r="B119" s="16" t="s">
        <v>98</v>
      </c>
      <c r="C119" s="16" t="str">
        <f>IFERROR(INDEX(employees!$B$2:$B$37,MATCH(B119,employees!$A$2:$A$37,0)),"")</f>
        <v>Morgan Walker</v>
      </c>
      <c r="D119" s="16" t="str">
        <f>IFERROR(INDEX(employees!$C$2:$C$37,MATCH(B119,employees!$A$2:$A$37,0)),"")</f>
        <v>Grid Automation</v>
      </c>
      <c r="E119" s="16" t="str">
        <f>IFERROR(INDEX(employees!$D$2:$D$37,MATCH(B119,employees!$A$2:$A$37,0)),"")</f>
        <v>Testing &amp; Validation</v>
      </c>
      <c r="F119" s="16" t="str">
        <f>IFERROR(INDEX(employees!$E$2:$E$37,MATCH(B119,employees!$A$2:$A$37,0)),"")</f>
        <v>Senior Engineer</v>
      </c>
      <c r="G119" s="16" t="s">
        <v>173</v>
      </c>
      <c r="H119" s="16" t="str">
        <f>IFERROR(INDEX(competency_model!$C$2:$C$25,MATCH(G119,competency_model!$A$2:$A$25,0)),"")</f>
        <v>Testing &amp; Validation</v>
      </c>
      <c r="I119" s="16" t="str">
        <f>IFERROR(INDEX(competency_model!$D$2:$D$25,MATCH(G119,competency_model!$A$2:$A$25,0)),"")</f>
        <v>Defect Investigation</v>
      </c>
      <c r="J119" s="16">
        <f>IFERROR(INDEX(competency_model!$F$2:$F$25,MATCH(G119,competency_model!$A$2:$A$25,0)),"")</f>
        <v>3</v>
      </c>
      <c r="K119" s="16" t="str">
        <f>IFERROR(INDEX(competency_model!$G$2:$G$25,MATCH(G119,competency_model!$A$2:$A$25,0)),"")</f>
        <v>Medium</v>
      </c>
      <c r="L119" s="21">
        <v>1</v>
      </c>
      <c r="M119" s="21">
        <f t="shared" si="6"/>
        <v>2</v>
      </c>
      <c r="N119" s="16" t="str">
        <f t="shared" si="7"/>
        <v>Moderate</v>
      </c>
      <c r="O119" s="21">
        <f t="shared" si="8"/>
        <v>2</v>
      </c>
      <c r="P119" s="21">
        <f t="shared" si="9"/>
        <v>4</v>
      </c>
      <c r="Q119" s="16" t="str">
        <f t="shared" si="10"/>
        <v>Development Needed</v>
      </c>
      <c r="R119" s="16" t="s">
        <v>228</v>
      </c>
      <c r="S119" s="23">
        <v>45722.561147534725</v>
      </c>
      <c r="T119" s="25">
        <f t="shared" ca="1" si="11"/>
        <v>479.43885246527498</v>
      </c>
      <c r="U119" s="16" t="s">
        <v>242</v>
      </c>
      <c r="V119" s="16" t="s">
        <v>231</v>
      </c>
      <c r="W119" s="6" t="str">
        <f ca="1">IF(R119="Missing","Missing evidence",IF(T119&gt;365,"Stale assessment",IF(COUNTIFS($B$2:$B$264,B119,$G$2:$G$264,G119)&gt;1,"Duplicate competency record",IF(INDEX(employees!$H$2:$H$37,MATCH(B119,employees!$A$2:$A$37,0))="Inactive","Inactive account","OK"))))</f>
        <v>Stale assessment</v>
      </c>
    </row>
    <row r="120" spans="1:23" ht="15" customHeight="1">
      <c r="A120" s="5" t="s">
        <v>349</v>
      </c>
      <c r="B120" s="16" t="s">
        <v>100</v>
      </c>
      <c r="C120" s="16" t="str">
        <f>IFERROR(INDEX(employees!$B$2:$B$37,MATCH(B120,employees!$A$2:$A$37,0)),"")</f>
        <v>Morgan Patel</v>
      </c>
      <c r="D120" s="16" t="str">
        <f>IFERROR(INDEX(employees!$C$2:$C$37,MATCH(B120,employees!$A$2:$A$37,0)),"")</f>
        <v>Systems Engineering</v>
      </c>
      <c r="E120" s="16" t="str">
        <f>IFERROR(INDEX(employees!$D$2:$D$37,MATCH(B120,employees!$A$2:$A$37,0)),"")</f>
        <v>Systems Engineering</v>
      </c>
      <c r="F120" s="16" t="str">
        <f>IFERROR(INDEX(employees!$E$2:$E$37,MATCH(B120,employees!$A$2:$A$37,0)),"")</f>
        <v>Senior Engineer</v>
      </c>
      <c r="G120" s="16" t="s">
        <v>197</v>
      </c>
      <c r="H120" s="16" t="str">
        <f>IFERROR(INDEX(competency_model!$C$2:$C$25,MATCH(G120,competency_model!$A$2:$A$25,0)),"")</f>
        <v>User Support</v>
      </c>
      <c r="I120" s="16" t="str">
        <f>IFERROR(INDEX(competency_model!$D$2:$D$25,MATCH(G120,competency_model!$A$2:$A$25,0)),"")</f>
        <v>Competency Tool User Support</v>
      </c>
      <c r="J120" s="16">
        <f>IFERROR(INDEX(competency_model!$F$2:$F$25,MATCH(G120,competency_model!$A$2:$A$25,0)),"")</f>
        <v>3</v>
      </c>
      <c r="K120" s="16" t="str">
        <f>IFERROR(INDEX(competency_model!$G$2:$G$25,MATCH(G120,competency_model!$A$2:$A$25,0)),"")</f>
        <v>Medium</v>
      </c>
      <c r="L120" s="21">
        <v>2</v>
      </c>
      <c r="M120" s="21">
        <f t="shared" si="6"/>
        <v>1</v>
      </c>
      <c r="N120" s="16" t="str">
        <f t="shared" si="7"/>
        <v>Minor</v>
      </c>
      <c r="O120" s="21">
        <f t="shared" si="8"/>
        <v>2</v>
      </c>
      <c r="P120" s="21">
        <f t="shared" si="9"/>
        <v>2</v>
      </c>
      <c r="Q120" s="16" t="str">
        <f t="shared" si="10"/>
        <v>Development Needed</v>
      </c>
      <c r="R120" s="16" t="s">
        <v>222</v>
      </c>
      <c r="S120" s="23">
        <v>46192.605225462961</v>
      </c>
      <c r="T120" s="25">
        <f t="shared" ca="1" si="11"/>
        <v>9.3947745370387565</v>
      </c>
      <c r="U120" s="16" t="s">
        <v>242</v>
      </c>
      <c r="V120" s="16" t="s">
        <v>226</v>
      </c>
      <c r="W120" s="6" t="str">
        <f>IF(R120="Missing","Missing evidence",IF(T120&gt;365,"Stale assessment",IF(COUNTIFS($B$2:$B$264,B120,$G$2:$G$264,G120)&gt;1,"Duplicate competency record",IF(INDEX(employees!$H$2:$H$37,MATCH(B120,employees!$A$2:$A$37,0))="Inactive","Inactive account","OK"))))</f>
        <v>Missing evidence</v>
      </c>
    </row>
    <row r="121" spans="1:23" ht="15" customHeight="1">
      <c r="A121" s="5" t="s">
        <v>350</v>
      </c>
      <c r="B121" s="16" t="s">
        <v>100</v>
      </c>
      <c r="C121" s="16" t="str">
        <f>IFERROR(INDEX(employees!$B$2:$B$37,MATCH(B121,employees!$A$2:$A$37,0)),"")</f>
        <v>Morgan Patel</v>
      </c>
      <c r="D121" s="16" t="str">
        <f>IFERROR(INDEX(employees!$C$2:$C$37,MATCH(B121,employees!$A$2:$A$37,0)),"")</f>
        <v>Systems Engineering</v>
      </c>
      <c r="E121" s="16" t="str">
        <f>IFERROR(INDEX(employees!$D$2:$D$37,MATCH(B121,employees!$A$2:$A$37,0)),"")</f>
        <v>Systems Engineering</v>
      </c>
      <c r="F121" s="16" t="str">
        <f>IFERROR(INDEX(employees!$E$2:$E$37,MATCH(B121,employees!$A$2:$A$37,0)),"")</f>
        <v>Senior Engineer</v>
      </c>
      <c r="G121" s="16" t="s">
        <v>178</v>
      </c>
      <c r="H121" s="16" t="str">
        <f>IFERROR(INDEX(competency_model!$C$2:$C$25,MATCH(G121,competency_model!$A$2:$A$25,0)),"")</f>
        <v>Stakeholder Communication</v>
      </c>
      <c r="I121" s="16" t="str">
        <f>IFERROR(INDEX(competency_model!$D$2:$D$25,MATCH(G121,competency_model!$A$2:$A$25,0)),"")</f>
        <v>Non-Technical Explanation</v>
      </c>
      <c r="J121" s="16">
        <f>IFERROR(INDEX(competency_model!$F$2:$F$25,MATCH(G121,competency_model!$A$2:$A$25,0)),"")</f>
        <v>3</v>
      </c>
      <c r="K121" s="16" t="str">
        <f>IFERROR(INDEX(competency_model!$G$2:$G$25,MATCH(G121,competency_model!$A$2:$A$25,0)),"")</f>
        <v>Medium</v>
      </c>
      <c r="L121" s="21">
        <v>2</v>
      </c>
      <c r="M121" s="21">
        <f t="shared" si="6"/>
        <v>1</v>
      </c>
      <c r="N121" s="16" t="str">
        <f t="shared" si="7"/>
        <v>Minor</v>
      </c>
      <c r="O121" s="21">
        <f t="shared" si="8"/>
        <v>2</v>
      </c>
      <c r="P121" s="21">
        <f t="shared" si="9"/>
        <v>2</v>
      </c>
      <c r="Q121" s="16" t="str">
        <f t="shared" si="10"/>
        <v>Development Needed</v>
      </c>
      <c r="R121" s="16" t="s">
        <v>222</v>
      </c>
      <c r="S121" s="23">
        <v>46107.578746712963</v>
      </c>
      <c r="T121" s="25">
        <f t="shared" ca="1" si="11"/>
        <v>94.421253287036961</v>
      </c>
      <c r="U121" s="16" t="s">
        <v>223</v>
      </c>
      <c r="V121" s="16"/>
      <c r="W121" s="6" t="str">
        <f>IF(R121="Missing","Missing evidence",IF(T121&gt;365,"Stale assessment",IF(COUNTIFS($B$2:$B$264,B121,$G$2:$G$264,G121)&gt;1,"Duplicate competency record",IF(INDEX(employees!$H$2:$H$37,MATCH(B121,employees!$A$2:$A$37,0))="Inactive","Inactive account","OK"))))</f>
        <v>Missing evidence</v>
      </c>
    </row>
    <row r="122" spans="1:23" ht="15" customHeight="1">
      <c r="A122" s="5" t="s">
        <v>351</v>
      </c>
      <c r="B122" s="16" t="s">
        <v>100</v>
      </c>
      <c r="C122" s="16" t="str">
        <f>IFERROR(INDEX(employees!$B$2:$B$37,MATCH(B122,employees!$A$2:$A$37,0)),"")</f>
        <v>Morgan Patel</v>
      </c>
      <c r="D122" s="16" t="str">
        <f>IFERROR(INDEX(employees!$C$2:$C$37,MATCH(B122,employees!$A$2:$A$37,0)),"")</f>
        <v>Systems Engineering</v>
      </c>
      <c r="E122" s="16" t="str">
        <f>IFERROR(INDEX(employees!$D$2:$D$37,MATCH(B122,employees!$A$2:$A$37,0)),"")</f>
        <v>Systems Engineering</v>
      </c>
      <c r="F122" s="16" t="str">
        <f>IFERROR(INDEX(employees!$E$2:$E$37,MATCH(B122,employees!$A$2:$A$37,0)),"")</f>
        <v>Senior Engineer</v>
      </c>
      <c r="G122" s="16" t="s">
        <v>163</v>
      </c>
      <c r="H122" s="16" t="str">
        <f>IFERROR(INDEX(competency_model!$C$2:$C$25,MATCH(G122,competency_model!$A$2:$A$25,0)),"")</f>
        <v>Engineering Documentation</v>
      </c>
      <c r="I122" s="16" t="str">
        <f>IFERROR(INDEX(competency_model!$D$2:$D$25,MATCH(G122,competency_model!$A$2:$A$25,0)),"")</f>
        <v>Technical Documentation</v>
      </c>
      <c r="J122" s="16">
        <f>IFERROR(INDEX(competency_model!$F$2:$F$25,MATCH(G122,competency_model!$A$2:$A$25,0)),"")</f>
        <v>4</v>
      </c>
      <c r="K122" s="16" t="str">
        <f>IFERROR(INDEX(competency_model!$G$2:$G$25,MATCH(G122,competency_model!$A$2:$A$25,0)),"")</f>
        <v>High</v>
      </c>
      <c r="L122" s="21">
        <v>3</v>
      </c>
      <c r="M122" s="21">
        <f t="shared" si="6"/>
        <v>1</v>
      </c>
      <c r="N122" s="16" t="str">
        <f t="shared" si="7"/>
        <v>Minor</v>
      </c>
      <c r="O122" s="21">
        <f t="shared" si="8"/>
        <v>3</v>
      </c>
      <c r="P122" s="21">
        <f t="shared" si="9"/>
        <v>3</v>
      </c>
      <c r="Q122" s="16" t="str">
        <f t="shared" si="10"/>
        <v>Development Needed</v>
      </c>
      <c r="R122" s="16" t="s">
        <v>228</v>
      </c>
      <c r="S122" s="23">
        <v>46032.650977939818</v>
      </c>
      <c r="T122" s="25">
        <f t="shared" ca="1" si="11"/>
        <v>169.3490220601816</v>
      </c>
      <c r="U122" s="16" t="s">
        <v>223</v>
      </c>
      <c r="V122" s="16" t="s">
        <v>226</v>
      </c>
      <c r="W122" s="6" t="str">
        <f ca="1">IF(R122="Missing","Missing evidence",IF(T122&gt;365,"Stale assessment",IF(COUNTIFS($B$2:$B$264,B122,$G$2:$G$264,G122)&gt;1,"Duplicate competency record",IF(INDEX(employees!$H$2:$H$37,MATCH(B122,employees!$A$2:$A$37,0))="Inactive","Inactive account","OK"))))</f>
        <v>OK</v>
      </c>
    </row>
    <row r="123" spans="1:23" ht="15" customHeight="1">
      <c r="A123" s="5" t="s">
        <v>352</v>
      </c>
      <c r="B123" s="16" t="s">
        <v>100</v>
      </c>
      <c r="C123" s="16" t="str">
        <f>IFERROR(INDEX(employees!$B$2:$B$37,MATCH(B123,employees!$A$2:$A$37,0)),"")</f>
        <v>Morgan Patel</v>
      </c>
      <c r="D123" s="16" t="str">
        <f>IFERROR(INDEX(employees!$C$2:$C$37,MATCH(B123,employees!$A$2:$A$37,0)),"")</f>
        <v>Systems Engineering</v>
      </c>
      <c r="E123" s="16" t="str">
        <f>IFERROR(INDEX(employees!$D$2:$D$37,MATCH(B123,employees!$A$2:$A$37,0)),"")</f>
        <v>Systems Engineering</v>
      </c>
      <c r="F123" s="16" t="str">
        <f>IFERROR(INDEX(employees!$E$2:$E$37,MATCH(B123,employees!$A$2:$A$37,0)),"")</f>
        <v>Senior Engineer</v>
      </c>
      <c r="G123" s="16" t="s">
        <v>160</v>
      </c>
      <c r="H123" s="16" t="str">
        <f>IFERROR(INDEX(competency_model!$C$2:$C$25,MATCH(G123,competency_model!$A$2:$A$25,0)),"")</f>
        <v>PowerPoint Presentation</v>
      </c>
      <c r="I123" s="16" t="str">
        <f>IFERROR(INDEX(competency_model!$D$2:$D$25,MATCH(G123,competency_model!$A$2:$A$25,0)),"")</f>
        <v>Leadership Storytelling</v>
      </c>
      <c r="J123" s="16">
        <f>IFERROR(INDEX(competency_model!$F$2:$F$25,MATCH(G123,competency_model!$A$2:$A$25,0)),"")</f>
        <v>3</v>
      </c>
      <c r="K123" s="16" t="str">
        <f>IFERROR(INDEX(competency_model!$G$2:$G$25,MATCH(G123,competency_model!$A$2:$A$25,0)),"")</f>
        <v>Medium</v>
      </c>
      <c r="L123" s="21">
        <v>3</v>
      </c>
      <c r="M123" s="21">
        <f t="shared" si="6"/>
        <v>0</v>
      </c>
      <c r="N123" s="16" t="str">
        <f t="shared" si="7"/>
        <v>No Gap</v>
      </c>
      <c r="O123" s="21">
        <f t="shared" si="8"/>
        <v>2</v>
      </c>
      <c r="P123" s="21">
        <f t="shared" si="9"/>
        <v>0</v>
      </c>
      <c r="Q123" s="16" t="str">
        <f t="shared" si="10"/>
        <v>Ready</v>
      </c>
      <c r="R123" s="16" t="s">
        <v>222</v>
      </c>
      <c r="S123" s="23">
        <v>45962.331768379627</v>
      </c>
      <c r="T123" s="25">
        <f t="shared" ca="1" si="11"/>
        <v>239.66823162037326</v>
      </c>
      <c r="U123" s="16" t="s">
        <v>223</v>
      </c>
      <c r="V123" s="16" t="s">
        <v>233</v>
      </c>
      <c r="W123" s="6" t="str">
        <f>IF(R123="Missing","Missing evidence",IF(T123&gt;365,"Stale assessment",IF(COUNTIFS($B$2:$B$264,B123,$G$2:$G$264,G123)&gt;1,"Duplicate competency record",IF(INDEX(employees!$H$2:$H$37,MATCH(B123,employees!$A$2:$A$37,0))="Inactive","Inactive account","OK"))))</f>
        <v>Missing evidence</v>
      </c>
    </row>
    <row r="124" spans="1:23" ht="15" customHeight="1">
      <c r="A124" s="5" t="s">
        <v>353</v>
      </c>
      <c r="B124" s="16" t="s">
        <v>100</v>
      </c>
      <c r="C124" s="16" t="str">
        <f>IFERROR(INDEX(employees!$B$2:$B$37,MATCH(B124,employees!$A$2:$A$37,0)),"")</f>
        <v>Morgan Patel</v>
      </c>
      <c r="D124" s="16" t="str">
        <f>IFERROR(INDEX(employees!$C$2:$C$37,MATCH(B124,employees!$A$2:$A$37,0)),"")</f>
        <v>Systems Engineering</v>
      </c>
      <c r="E124" s="16" t="str">
        <f>IFERROR(INDEX(employees!$D$2:$D$37,MATCH(B124,employees!$A$2:$A$37,0)),"")</f>
        <v>Systems Engineering</v>
      </c>
      <c r="F124" s="16" t="str">
        <f>IFERROR(INDEX(employees!$E$2:$E$37,MATCH(B124,employees!$A$2:$A$37,0)),"")</f>
        <v>Senior Engineer</v>
      </c>
      <c r="G124" s="16" t="s">
        <v>181</v>
      </c>
      <c r="H124" s="16" t="str">
        <f>IFERROR(INDEX(competency_model!$C$2:$C$25,MATCH(G124,competency_model!$A$2:$A$25,0)),"")</f>
        <v>Stakeholder Communication</v>
      </c>
      <c r="I124" s="16" t="str">
        <f>IFERROR(INDEX(competency_model!$D$2:$D$25,MATCH(G124,competency_model!$A$2:$A$25,0)),"")</f>
        <v>Cross-Functional Updates</v>
      </c>
      <c r="J124" s="16">
        <f>IFERROR(INDEX(competency_model!$F$2:$F$25,MATCH(G124,competency_model!$A$2:$A$25,0)),"")</f>
        <v>3</v>
      </c>
      <c r="K124" s="16" t="str">
        <f>IFERROR(INDEX(competency_model!$G$2:$G$25,MATCH(G124,competency_model!$A$2:$A$25,0)),"")</f>
        <v>Medium</v>
      </c>
      <c r="L124" s="21">
        <v>1</v>
      </c>
      <c r="M124" s="21">
        <f t="shared" si="6"/>
        <v>2</v>
      </c>
      <c r="N124" s="16" t="str">
        <f t="shared" si="7"/>
        <v>Moderate</v>
      </c>
      <c r="O124" s="21">
        <f t="shared" si="8"/>
        <v>2</v>
      </c>
      <c r="P124" s="21">
        <f t="shared" si="9"/>
        <v>4</v>
      </c>
      <c r="Q124" s="16" t="str">
        <f t="shared" si="10"/>
        <v>Development Needed</v>
      </c>
      <c r="R124" s="16" t="s">
        <v>222</v>
      </c>
      <c r="S124" s="23">
        <v>46085.833292870368</v>
      </c>
      <c r="T124" s="25">
        <f t="shared" ca="1" si="11"/>
        <v>116.16670712963241</v>
      </c>
      <c r="U124" s="16" t="s">
        <v>242</v>
      </c>
      <c r="V124" s="16"/>
      <c r="W124" s="6" t="str">
        <f>IF(R124="Missing","Missing evidence",IF(T124&gt;365,"Stale assessment",IF(COUNTIFS($B$2:$B$264,B124,$G$2:$G$264,G124)&gt;1,"Duplicate competency record",IF(INDEX(employees!$H$2:$H$37,MATCH(B124,employees!$A$2:$A$37,0))="Inactive","Inactive account","OK"))))</f>
        <v>Missing evidence</v>
      </c>
    </row>
    <row r="125" spans="1:23" ht="15" customHeight="1">
      <c r="A125" s="5" t="s">
        <v>354</v>
      </c>
      <c r="B125" s="16" t="s">
        <v>100</v>
      </c>
      <c r="C125" s="16" t="str">
        <f>IFERROR(INDEX(employees!$B$2:$B$37,MATCH(B125,employees!$A$2:$A$37,0)),"")</f>
        <v>Morgan Patel</v>
      </c>
      <c r="D125" s="16" t="str">
        <f>IFERROR(INDEX(employees!$C$2:$C$37,MATCH(B125,employees!$A$2:$A$37,0)),"")</f>
        <v>Systems Engineering</v>
      </c>
      <c r="E125" s="16" t="str">
        <f>IFERROR(INDEX(employees!$D$2:$D$37,MATCH(B125,employees!$A$2:$A$37,0)),"")</f>
        <v>Systems Engineering</v>
      </c>
      <c r="F125" s="16" t="str">
        <f>IFERROR(INDEX(employees!$E$2:$E$37,MATCH(B125,employees!$A$2:$A$37,0)),"")</f>
        <v>Senior Engineer</v>
      </c>
      <c r="G125" s="16" t="s">
        <v>154</v>
      </c>
      <c r="H125" s="16" t="str">
        <f>IFERROR(INDEX(competency_model!$C$2:$C$25,MATCH(G125,competency_model!$A$2:$A$25,0)),"")</f>
        <v>Excel Reporting</v>
      </c>
      <c r="I125" s="16" t="str">
        <f>IFERROR(INDEX(competency_model!$D$2:$D$25,MATCH(G125,competency_model!$A$2:$A$25,0)),"")</f>
        <v>PivotTables and Power Query</v>
      </c>
      <c r="J125" s="16">
        <f>IFERROR(INDEX(competency_model!$F$2:$F$25,MATCH(G125,competency_model!$A$2:$A$25,0)),"")</f>
        <v>4</v>
      </c>
      <c r="K125" s="16" t="str">
        <f>IFERROR(INDEX(competency_model!$G$2:$G$25,MATCH(G125,competency_model!$A$2:$A$25,0)),"")</f>
        <v>High</v>
      </c>
      <c r="L125" s="21">
        <v>2</v>
      </c>
      <c r="M125" s="21">
        <f t="shared" si="6"/>
        <v>2</v>
      </c>
      <c r="N125" s="16" t="str">
        <f t="shared" si="7"/>
        <v>Moderate</v>
      </c>
      <c r="O125" s="21">
        <f t="shared" si="8"/>
        <v>3</v>
      </c>
      <c r="P125" s="21">
        <f t="shared" si="9"/>
        <v>6</v>
      </c>
      <c r="Q125" s="16" t="str">
        <f t="shared" si="10"/>
        <v>Development Needed</v>
      </c>
      <c r="R125" s="16" t="s">
        <v>222</v>
      </c>
      <c r="S125" s="23">
        <v>45770.645068321763</v>
      </c>
      <c r="T125" s="25">
        <f t="shared" ca="1" si="11"/>
        <v>431.35493167823734</v>
      </c>
      <c r="U125" s="16" t="s">
        <v>242</v>
      </c>
      <c r="V125" s="16" t="s">
        <v>233</v>
      </c>
      <c r="W125" s="6" t="str">
        <f>IF(R125="Missing","Missing evidence",IF(T125&gt;365,"Stale assessment",IF(COUNTIFS($B$2:$B$264,B125,$G$2:$G$264,G125)&gt;1,"Duplicate competency record",IF(INDEX(employees!$H$2:$H$37,MATCH(B125,employees!$A$2:$A$37,0))="Inactive","Inactive account","OK"))))</f>
        <v>Missing evidence</v>
      </c>
    </row>
    <row r="126" spans="1:23" ht="15" customHeight="1">
      <c r="A126" s="5" t="s">
        <v>355</v>
      </c>
      <c r="B126" s="16" t="s">
        <v>100</v>
      </c>
      <c r="C126" s="16" t="str">
        <f>IFERROR(INDEX(employees!$B$2:$B$37,MATCH(B126,employees!$A$2:$A$37,0)),"")</f>
        <v>Morgan Patel</v>
      </c>
      <c r="D126" s="16" t="str">
        <f>IFERROR(INDEX(employees!$C$2:$C$37,MATCH(B126,employees!$A$2:$A$37,0)),"")</f>
        <v>Systems Engineering</v>
      </c>
      <c r="E126" s="16" t="str">
        <f>IFERROR(INDEX(employees!$D$2:$D$37,MATCH(B126,employees!$A$2:$A$37,0)),"")</f>
        <v>Systems Engineering</v>
      </c>
      <c r="F126" s="16" t="str">
        <f>IFERROR(INDEX(employees!$E$2:$E$37,MATCH(B126,employees!$A$2:$A$37,0)),"")</f>
        <v>Senior Engineer</v>
      </c>
      <c r="G126" s="16" t="s">
        <v>169</v>
      </c>
      <c r="H126" s="16" t="str">
        <f>IFERROR(INDEX(competency_model!$C$2:$C$25,MATCH(G126,competency_model!$A$2:$A$25,0)),"")</f>
        <v>Power Systems Knowledge</v>
      </c>
      <c r="I126" s="16" t="str">
        <f>IFERROR(INDEX(competency_model!$D$2:$D$25,MATCH(G126,competency_model!$A$2:$A$25,0)),"")</f>
        <v>HVDC System Concepts</v>
      </c>
      <c r="J126" s="16">
        <f>IFERROR(INDEX(competency_model!$F$2:$F$25,MATCH(G126,competency_model!$A$2:$A$25,0)),"")</f>
        <v>3</v>
      </c>
      <c r="K126" s="16" t="str">
        <f>IFERROR(INDEX(competency_model!$G$2:$G$25,MATCH(G126,competency_model!$A$2:$A$25,0)),"")</f>
        <v>High</v>
      </c>
      <c r="L126" s="21">
        <v>1</v>
      </c>
      <c r="M126" s="21">
        <f t="shared" si="6"/>
        <v>2</v>
      </c>
      <c r="N126" s="16" t="str">
        <f t="shared" si="7"/>
        <v>Moderate</v>
      </c>
      <c r="O126" s="21">
        <f t="shared" si="8"/>
        <v>3</v>
      </c>
      <c r="P126" s="21">
        <f t="shared" si="9"/>
        <v>6</v>
      </c>
      <c r="Q126" s="16" t="str">
        <f t="shared" si="10"/>
        <v>Development Needed</v>
      </c>
      <c r="R126" s="16" t="s">
        <v>228</v>
      </c>
      <c r="S126" s="23">
        <v>45978.091686111111</v>
      </c>
      <c r="T126" s="25">
        <f t="shared" ca="1" si="11"/>
        <v>223.9083138888891</v>
      </c>
      <c r="U126" s="16" t="s">
        <v>223</v>
      </c>
      <c r="V126" s="16" t="s">
        <v>239</v>
      </c>
      <c r="W126" s="6" t="str">
        <f ca="1">IF(R126="Missing","Missing evidence",IF(T126&gt;365,"Stale assessment",IF(COUNTIFS($B$2:$B$264,B126,$G$2:$G$264,G126)&gt;1,"Duplicate competency record",IF(INDEX(employees!$H$2:$H$37,MATCH(B126,employees!$A$2:$A$37,0))="Inactive","Inactive account","OK"))))</f>
        <v>OK</v>
      </c>
    </row>
    <row r="127" spans="1:23" ht="15" customHeight="1">
      <c r="A127" s="5" t="s">
        <v>356</v>
      </c>
      <c r="B127" s="16" t="s">
        <v>102</v>
      </c>
      <c r="C127" s="16" t="str">
        <f>IFERROR(INDEX(employees!$B$2:$B$37,MATCH(B127,employees!$A$2:$A$37,0)),"")</f>
        <v>Jordan Evans</v>
      </c>
      <c r="D127" s="16" t="str">
        <f>IFERROR(INDEX(employees!$C$2:$C$37,MATCH(B127,employees!$A$2:$A$37,0)),"")</f>
        <v>Asset Management</v>
      </c>
      <c r="E127" s="16" t="str">
        <f>IFERROR(INDEX(employees!$D$2:$D$37,MATCH(B127,employees!$A$2:$A$37,0)),"")</f>
        <v>Data &amp; Reporting</v>
      </c>
      <c r="F127" s="16" t="str">
        <f>IFERROR(INDEX(employees!$E$2:$E$37,MATCH(B127,employees!$A$2:$A$37,0)),"")</f>
        <v>Senior Engineer</v>
      </c>
      <c r="G127" s="16" t="s">
        <v>163</v>
      </c>
      <c r="H127" s="16" t="str">
        <f>IFERROR(INDEX(competency_model!$C$2:$C$25,MATCH(G127,competency_model!$A$2:$A$25,0)),"")</f>
        <v>Engineering Documentation</v>
      </c>
      <c r="I127" s="16" t="str">
        <f>IFERROR(INDEX(competency_model!$D$2:$D$25,MATCH(G127,competency_model!$A$2:$A$25,0)),"")</f>
        <v>Technical Documentation</v>
      </c>
      <c r="J127" s="16">
        <f>IFERROR(INDEX(competency_model!$F$2:$F$25,MATCH(G127,competency_model!$A$2:$A$25,0)),"")</f>
        <v>4</v>
      </c>
      <c r="K127" s="16" t="str">
        <f>IFERROR(INDEX(competency_model!$G$2:$G$25,MATCH(G127,competency_model!$A$2:$A$25,0)),"")</f>
        <v>High</v>
      </c>
      <c r="L127" s="21">
        <v>4</v>
      </c>
      <c r="M127" s="21">
        <f t="shared" si="6"/>
        <v>0</v>
      </c>
      <c r="N127" s="16" t="str">
        <f t="shared" si="7"/>
        <v>No Gap</v>
      </c>
      <c r="O127" s="21">
        <f t="shared" si="8"/>
        <v>3</v>
      </c>
      <c r="P127" s="21">
        <f t="shared" si="9"/>
        <v>0</v>
      </c>
      <c r="Q127" s="16" t="str">
        <f t="shared" si="10"/>
        <v>Ready</v>
      </c>
      <c r="R127" s="16" t="s">
        <v>228</v>
      </c>
      <c r="S127" s="23">
        <v>45998.974394687502</v>
      </c>
      <c r="T127" s="25">
        <f t="shared" ca="1" si="11"/>
        <v>203.02560531249765</v>
      </c>
      <c r="U127" s="16" t="s">
        <v>242</v>
      </c>
      <c r="V127" s="16" t="s">
        <v>233</v>
      </c>
      <c r="W127" s="6" t="str">
        <f ca="1">IF(R127="Missing","Missing evidence",IF(T127&gt;365,"Stale assessment",IF(COUNTIFS($B$2:$B$264,B127,$G$2:$G$264,G127)&gt;1,"Duplicate competency record",IF(INDEX(employees!$H$2:$H$37,MATCH(B127,employees!$A$2:$A$37,0))="Inactive","Inactive account","OK"))))</f>
        <v>OK</v>
      </c>
    </row>
    <row r="128" spans="1:23" ht="15" customHeight="1">
      <c r="A128" s="5" t="s">
        <v>357</v>
      </c>
      <c r="B128" s="16" t="s">
        <v>102</v>
      </c>
      <c r="C128" s="16" t="str">
        <f>IFERROR(INDEX(employees!$B$2:$B$37,MATCH(B128,employees!$A$2:$A$37,0)),"")</f>
        <v>Jordan Evans</v>
      </c>
      <c r="D128" s="16" t="str">
        <f>IFERROR(INDEX(employees!$C$2:$C$37,MATCH(B128,employees!$A$2:$A$37,0)),"")</f>
        <v>Asset Management</v>
      </c>
      <c r="E128" s="16" t="str">
        <f>IFERROR(INDEX(employees!$D$2:$D$37,MATCH(B128,employees!$A$2:$A$37,0)),"")</f>
        <v>Data &amp; Reporting</v>
      </c>
      <c r="F128" s="16" t="str">
        <f>IFERROR(INDEX(employees!$E$2:$E$37,MATCH(B128,employees!$A$2:$A$37,0)),"")</f>
        <v>Senior Engineer</v>
      </c>
      <c r="G128" s="16" t="s">
        <v>160</v>
      </c>
      <c r="H128" s="16" t="str">
        <f>IFERROR(INDEX(competency_model!$C$2:$C$25,MATCH(G128,competency_model!$A$2:$A$25,0)),"")</f>
        <v>PowerPoint Presentation</v>
      </c>
      <c r="I128" s="16" t="str">
        <f>IFERROR(INDEX(competency_model!$D$2:$D$25,MATCH(G128,competency_model!$A$2:$A$25,0)),"")</f>
        <v>Leadership Storytelling</v>
      </c>
      <c r="J128" s="16">
        <f>IFERROR(INDEX(competency_model!$F$2:$F$25,MATCH(G128,competency_model!$A$2:$A$25,0)),"")</f>
        <v>3</v>
      </c>
      <c r="K128" s="16" t="str">
        <f>IFERROR(INDEX(competency_model!$G$2:$G$25,MATCH(G128,competency_model!$A$2:$A$25,0)),"")</f>
        <v>Medium</v>
      </c>
      <c r="L128" s="21">
        <v>3</v>
      </c>
      <c r="M128" s="21">
        <f t="shared" si="6"/>
        <v>0</v>
      </c>
      <c r="N128" s="16" t="str">
        <f t="shared" si="7"/>
        <v>No Gap</v>
      </c>
      <c r="O128" s="21">
        <f t="shared" si="8"/>
        <v>2</v>
      </c>
      <c r="P128" s="21">
        <f t="shared" si="9"/>
        <v>0</v>
      </c>
      <c r="Q128" s="16" t="str">
        <f t="shared" si="10"/>
        <v>Ready</v>
      </c>
      <c r="R128" s="16" t="s">
        <v>225</v>
      </c>
      <c r="S128" s="23">
        <v>45668.776879108795</v>
      </c>
      <c r="T128" s="25">
        <f t="shared" ca="1" si="11"/>
        <v>533.22312089120533</v>
      </c>
      <c r="U128" s="16" t="s">
        <v>223</v>
      </c>
      <c r="V128" s="16" t="s">
        <v>233</v>
      </c>
      <c r="W128" s="6" t="str">
        <f ca="1">IF(R128="Missing","Missing evidence",IF(T128&gt;365,"Stale assessment",IF(COUNTIFS($B$2:$B$264,B128,$G$2:$G$264,G128)&gt;1,"Duplicate competency record",IF(INDEX(employees!$H$2:$H$37,MATCH(B128,employees!$A$2:$A$37,0))="Inactive","Inactive account","OK"))))</f>
        <v>Stale assessment</v>
      </c>
    </row>
    <row r="129" spans="1:23" ht="15" customHeight="1">
      <c r="A129" s="5" t="s">
        <v>358</v>
      </c>
      <c r="B129" s="16" t="s">
        <v>102</v>
      </c>
      <c r="C129" s="16" t="str">
        <f>IFERROR(INDEX(employees!$B$2:$B$37,MATCH(B129,employees!$A$2:$A$37,0)),"")</f>
        <v>Jordan Evans</v>
      </c>
      <c r="D129" s="16" t="str">
        <f>IFERROR(INDEX(employees!$C$2:$C$37,MATCH(B129,employees!$A$2:$A$37,0)),"")</f>
        <v>Asset Management</v>
      </c>
      <c r="E129" s="16" t="str">
        <f>IFERROR(INDEX(employees!$D$2:$D$37,MATCH(B129,employees!$A$2:$A$37,0)),"")</f>
        <v>Data &amp; Reporting</v>
      </c>
      <c r="F129" s="16" t="str">
        <f>IFERROR(INDEX(employees!$E$2:$E$37,MATCH(B129,employees!$A$2:$A$37,0)),"")</f>
        <v>Senior Engineer</v>
      </c>
      <c r="G129" s="16" t="s">
        <v>154</v>
      </c>
      <c r="H129" s="16" t="str">
        <f>IFERROR(INDEX(competency_model!$C$2:$C$25,MATCH(G129,competency_model!$A$2:$A$25,0)),"")</f>
        <v>Excel Reporting</v>
      </c>
      <c r="I129" s="16" t="str">
        <f>IFERROR(INDEX(competency_model!$D$2:$D$25,MATCH(G129,competency_model!$A$2:$A$25,0)),"")</f>
        <v>PivotTables and Power Query</v>
      </c>
      <c r="J129" s="16">
        <f>IFERROR(INDEX(competency_model!$F$2:$F$25,MATCH(G129,competency_model!$A$2:$A$25,0)),"")</f>
        <v>4</v>
      </c>
      <c r="K129" s="16" t="str">
        <f>IFERROR(INDEX(competency_model!$G$2:$G$25,MATCH(G129,competency_model!$A$2:$A$25,0)),"")</f>
        <v>High</v>
      </c>
      <c r="L129" s="21">
        <v>2</v>
      </c>
      <c r="M129" s="21">
        <f t="shared" si="6"/>
        <v>2</v>
      </c>
      <c r="N129" s="16" t="str">
        <f t="shared" si="7"/>
        <v>Moderate</v>
      </c>
      <c r="O129" s="21">
        <f t="shared" si="8"/>
        <v>3</v>
      </c>
      <c r="P129" s="21">
        <f t="shared" si="9"/>
        <v>6</v>
      </c>
      <c r="Q129" s="16" t="str">
        <f t="shared" si="10"/>
        <v>Development Needed</v>
      </c>
      <c r="R129" s="16" t="s">
        <v>228</v>
      </c>
      <c r="S129" s="23">
        <v>46140.097617407409</v>
      </c>
      <c r="T129" s="25">
        <f t="shared" ca="1" si="11"/>
        <v>61.902382592590584</v>
      </c>
      <c r="U129" s="16" t="s">
        <v>223</v>
      </c>
      <c r="V129" s="16" t="s">
        <v>226</v>
      </c>
      <c r="W129" s="6" t="str">
        <f ca="1">IF(R129="Missing","Missing evidence",IF(T129&gt;365,"Stale assessment",IF(COUNTIFS($B$2:$B$264,B129,$G$2:$G$264,G129)&gt;1,"Duplicate competency record",IF(INDEX(employees!$H$2:$H$37,MATCH(B129,employees!$A$2:$A$37,0))="Inactive","Inactive account","OK"))))</f>
        <v>OK</v>
      </c>
    </row>
    <row r="130" spans="1:23" ht="15" customHeight="1">
      <c r="A130" s="5" t="s">
        <v>359</v>
      </c>
      <c r="B130" s="16" t="s">
        <v>102</v>
      </c>
      <c r="C130" s="16" t="str">
        <f>IFERROR(INDEX(employees!$B$2:$B$37,MATCH(B130,employees!$A$2:$A$37,0)),"")</f>
        <v>Jordan Evans</v>
      </c>
      <c r="D130" s="16" t="str">
        <f>IFERROR(INDEX(employees!$C$2:$C$37,MATCH(B130,employees!$A$2:$A$37,0)),"")</f>
        <v>Asset Management</v>
      </c>
      <c r="E130" s="16" t="str">
        <f>IFERROR(INDEX(employees!$D$2:$D$37,MATCH(B130,employees!$A$2:$A$37,0)),"")</f>
        <v>Data &amp; Reporting</v>
      </c>
      <c r="F130" s="16" t="str">
        <f>IFERROR(INDEX(employees!$E$2:$E$37,MATCH(B130,employees!$A$2:$A$37,0)),"")</f>
        <v>Senior Engineer</v>
      </c>
      <c r="G130" s="16" t="s">
        <v>197</v>
      </c>
      <c r="H130" s="16" t="str">
        <f>IFERROR(INDEX(competency_model!$C$2:$C$25,MATCH(G130,competency_model!$A$2:$A$25,0)),"")</f>
        <v>User Support</v>
      </c>
      <c r="I130" s="16" t="str">
        <f>IFERROR(INDEX(competency_model!$D$2:$D$25,MATCH(G130,competency_model!$A$2:$A$25,0)),"")</f>
        <v>Competency Tool User Support</v>
      </c>
      <c r="J130" s="16">
        <f>IFERROR(INDEX(competency_model!$F$2:$F$25,MATCH(G130,competency_model!$A$2:$A$25,0)),"")</f>
        <v>3</v>
      </c>
      <c r="K130" s="16" t="str">
        <f>IFERROR(INDEX(competency_model!$G$2:$G$25,MATCH(G130,competency_model!$A$2:$A$25,0)),"")</f>
        <v>Medium</v>
      </c>
      <c r="L130" s="21">
        <v>1</v>
      </c>
      <c r="M130" s="21">
        <f t="shared" ref="M130:M193" si="12">MAX(0,J130-L130)</f>
        <v>2</v>
      </c>
      <c r="N130" s="16" t="str">
        <f t="shared" ref="N130:N193" si="13">IF(M130=0,"No Gap",IF(M130=1,"Minor",IF(M130=2,"Moderate","Critical")))</f>
        <v>Moderate</v>
      </c>
      <c r="O130" s="21">
        <f t="shared" ref="O130:O193" si="14">IF(K130="High",3,IF(K130="Medium",2,1))</f>
        <v>2</v>
      </c>
      <c r="P130" s="21">
        <f t="shared" ref="P130:P193" si="15">M130*O130</f>
        <v>4</v>
      </c>
      <c r="Q130" s="16" t="str">
        <f t="shared" ref="Q130:Q193" si="16">IF(L130&gt;=J130,"Ready","Development Needed")</f>
        <v>Development Needed</v>
      </c>
      <c r="R130" s="16" t="s">
        <v>228</v>
      </c>
      <c r="S130" s="23">
        <v>46035.131801944444</v>
      </c>
      <c r="T130" s="25">
        <f t="shared" ref="T130:T193" ca="1" si="17">TODAY()-S130</f>
        <v>166.86819805555569</v>
      </c>
      <c r="U130" s="16" t="s">
        <v>242</v>
      </c>
      <c r="V130" s="16" t="s">
        <v>239</v>
      </c>
      <c r="W130" s="6" t="str">
        <f ca="1">IF(R130="Missing","Missing evidence",IF(T130&gt;365,"Stale assessment",IF(COUNTIFS($B$2:$B$264,B130,$G$2:$G$264,G130)&gt;1,"Duplicate competency record",IF(INDEX(employees!$H$2:$H$37,MATCH(B130,employees!$A$2:$A$37,0))="Inactive","Inactive account","OK"))))</f>
        <v>OK</v>
      </c>
    </row>
    <row r="131" spans="1:23" ht="15" customHeight="1">
      <c r="A131" s="5" t="s">
        <v>360</v>
      </c>
      <c r="B131" s="16" t="s">
        <v>102</v>
      </c>
      <c r="C131" s="16" t="str">
        <f>IFERROR(INDEX(employees!$B$2:$B$37,MATCH(B131,employees!$A$2:$A$37,0)),"")</f>
        <v>Jordan Evans</v>
      </c>
      <c r="D131" s="16" t="str">
        <f>IFERROR(INDEX(employees!$C$2:$C$37,MATCH(B131,employees!$A$2:$A$37,0)),"")</f>
        <v>Asset Management</v>
      </c>
      <c r="E131" s="16" t="str">
        <f>IFERROR(INDEX(employees!$D$2:$D$37,MATCH(B131,employees!$A$2:$A$37,0)),"")</f>
        <v>Data &amp; Reporting</v>
      </c>
      <c r="F131" s="16" t="str">
        <f>IFERROR(INDEX(employees!$E$2:$E$37,MATCH(B131,employees!$A$2:$A$37,0)),"")</f>
        <v>Senior Engineer</v>
      </c>
      <c r="G131" s="16" t="s">
        <v>144</v>
      </c>
      <c r="H131" s="16" t="str">
        <f>IFERROR(INDEX(competency_model!$C$2:$C$25,MATCH(G131,competency_model!$A$2:$A$25,0)),"")</f>
        <v>Data Analysis</v>
      </c>
      <c r="I131" s="16" t="str">
        <f>IFERROR(INDEX(competency_model!$D$2:$D$25,MATCH(G131,competency_model!$A$2:$A$25,0)),"")</f>
        <v>Excel Data Cleaning</v>
      </c>
      <c r="J131" s="16">
        <f>IFERROR(INDEX(competency_model!$F$2:$F$25,MATCH(G131,competency_model!$A$2:$A$25,0)),"")</f>
        <v>4</v>
      </c>
      <c r="K131" s="16" t="str">
        <f>IFERROR(INDEX(competency_model!$G$2:$G$25,MATCH(G131,competency_model!$A$2:$A$25,0)),"")</f>
        <v>High</v>
      </c>
      <c r="L131" s="21">
        <v>4</v>
      </c>
      <c r="M131" s="21">
        <f t="shared" si="12"/>
        <v>0</v>
      </c>
      <c r="N131" s="16" t="str">
        <f t="shared" si="13"/>
        <v>No Gap</v>
      </c>
      <c r="O131" s="21">
        <f t="shared" si="14"/>
        <v>3</v>
      </c>
      <c r="P131" s="21">
        <f t="shared" si="15"/>
        <v>0</v>
      </c>
      <c r="Q131" s="16" t="str">
        <f t="shared" si="16"/>
        <v>Ready</v>
      </c>
      <c r="R131" s="16" t="s">
        <v>222</v>
      </c>
      <c r="S131" s="23">
        <v>46076.714666030093</v>
      </c>
      <c r="T131" s="25">
        <f t="shared" ca="1" si="17"/>
        <v>125.28533396990679</v>
      </c>
      <c r="U131" s="16" t="s">
        <v>223</v>
      </c>
      <c r="V131" s="16" t="s">
        <v>239</v>
      </c>
      <c r="W131" s="6" t="str">
        <f>IF(R131="Missing","Missing evidence",IF(T131&gt;365,"Stale assessment",IF(COUNTIFS($B$2:$B$264,B131,$G$2:$G$264,G131)&gt;1,"Duplicate competency record",IF(INDEX(employees!$H$2:$H$37,MATCH(B131,employees!$A$2:$A$37,0))="Inactive","Inactive account","OK"))))</f>
        <v>Missing evidence</v>
      </c>
    </row>
    <row r="132" spans="1:23" ht="15" customHeight="1">
      <c r="A132" s="5" t="s">
        <v>361</v>
      </c>
      <c r="B132" s="16" t="s">
        <v>102</v>
      </c>
      <c r="C132" s="16" t="str">
        <f>IFERROR(INDEX(employees!$B$2:$B$37,MATCH(B132,employees!$A$2:$A$37,0)),"")</f>
        <v>Jordan Evans</v>
      </c>
      <c r="D132" s="16" t="str">
        <f>IFERROR(INDEX(employees!$C$2:$C$37,MATCH(B132,employees!$A$2:$A$37,0)),"")</f>
        <v>Asset Management</v>
      </c>
      <c r="E132" s="16" t="str">
        <f>IFERROR(INDEX(employees!$D$2:$D$37,MATCH(B132,employees!$A$2:$A$37,0)),"")</f>
        <v>Data &amp; Reporting</v>
      </c>
      <c r="F132" s="16" t="str">
        <f>IFERROR(INDEX(employees!$E$2:$E$37,MATCH(B132,employees!$A$2:$A$37,0)),"")</f>
        <v>Senior Engineer</v>
      </c>
      <c r="G132" s="16" t="s">
        <v>200</v>
      </c>
      <c r="H132" s="16" t="str">
        <f>IFERROR(INDEX(competency_model!$C$2:$C$25,MATCH(G132,competency_model!$A$2:$A$25,0)),"")</f>
        <v>Excel Reporting</v>
      </c>
      <c r="I132" s="16" t="str">
        <f>IFERROR(INDEX(competency_model!$D$2:$D$25,MATCH(G132,competency_model!$A$2:$A$25,0)),"")</f>
        <v>Recurring KPI Reporting</v>
      </c>
      <c r="J132" s="16">
        <f>IFERROR(INDEX(competency_model!$F$2:$F$25,MATCH(G132,competency_model!$A$2:$A$25,0)),"")</f>
        <v>4</v>
      </c>
      <c r="K132" s="16" t="str">
        <f>IFERROR(INDEX(competency_model!$G$2:$G$25,MATCH(G132,competency_model!$A$2:$A$25,0)),"")</f>
        <v>High</v>
      </c>
      <c r="L132" s="21">
        <v>4</v>
      </c>
      <c r="M132" s="21">
        <f t="shared" si="12"/>
        <v>0</v>
      </c>
      <c r="N132" s="16" t="str">
        <f t="shared" si="13"/>
        <v>No Gap</v>
      </c>
      <c r="O132" s="21">
        <f t="shared" si="14"/>
        <v>3</v>
      </c>
      <c r="P132" s="21">
        <f t="shared" si="15"/>
        <v>0</v>
      </c>
      <c r="Q132" s="16" t="str">
        <f t="shared" si="16"/>
        <v>Ready</v>
      </c>
      <c r="R132" s="16" t="s">
        <v>225</v>
      </c>
      <c r="S132" s="23">
        <v>46012.809096435187</v>
      </c>
      <c r="T132" s="25">
        <f t="shared" ca="1" si="17"/>
        <v>189.1909035648132</v>
      </c>
      <c r="U132" s="16" t="s">
        <v>229</v>
      </c>
      <c r="V132" s="16"/>
      <c r="W132" s="6" t="str">
        <f ca="1">IF(R132="Missing","Missing evidence",IF(T132&gt;365,"Stale assessment",IF(COUNTIFS($B$2:$B$264,B132,$G$2:$G$264,G132)&gt;1,"Duplicate competency record",IF(INDEX(employees!$H$2:$H$37,MATCH(B132,employees!$A$2:$A$37,0))="Inactive","Inactive account","OK"))))</f>
        <v>OK</v>
      </c>
    </row>
    <row r="133" spans="1:23" ht="15" customHeight="1">
      <c r="A133" s="5" t="s">
        <v>362</v>
      </c>
      <c r="B133" s="16" t="s">
        <v>104</v>
      </c>
      <c r="C133" s="16" t="str">
        <f>IFERROR(INDEX(employees!$B$2:$B$37,MATCH(B133,employees!$A$2:$A$37,0)),"")</f>
        <v>Cameron Nguyen</v>
      </c>
      <c r="D133" s="16" t="str">
        <f>IFERROR(INDEX(employees!$C$2:$C$37,MATCH(B133,employees!$A$2:$A$37,0)),"")</f>
        <v>Protection &amp; Control</v>
      </c>
      <c r="E133" s="16" t="str">
        <f>IFERROR(INDEX(employees!$D$2:$D$37,MATCH(B133,employees!$A$2:$A$37,0)),"")</f>
        <v>Testing &amp; Validation</v>
      </c>
      <c r="F133" s="16" t="str">
        <f>IFERROR(INDEX(employees!$E$2:$E$37,MATCH(B133,employees!$A$2:$A$37,0)),"")</f>
        <v>Senior Engineer</v>
      </c>
      <c r="G133" s="16" t="s">
        <v>171</v>
      </c>
      <c r="H133" s="16" t="str">
        <f>IFERROR(INDEX(competency_model!$C$2:$C$25,MATCH(G133,competency_model!$A$2:$A$25,0)),"")</f>
        <v>Testing &amp; Validation</v>
      </c>
      <c r="I133" s="16" t="str">
        <f>IFERROR(INDEX(competency_model!$D$2:$D$25,MATCH(G133,competency_model!$A$2:$A$25,0)),"")</f>
        <v>Test Evidence Review</v>
      </c>
      <c r="J133" s="16">
        <f>IFERROR(INDEX(competency_model!$F$2:$F$25,MATCH(G133,competency_model!$A$2:$A$25,0)),"")</f>
        <v>4</v>
      </c>
      <c r="K133" s="16" t="str">
        <f>IFERROR(INDEX(competency_model!$G$2:$G$25,MATCH(G133,competency_model!$A$2:$A$25,0)),"")</f>
        <v>High</v>
      </c>
      <c r="L133" s="21">
        <v>3</v>
      </c>
      <c r="M133" s="21">
        <f t="shared" si="12"/>
        <v>1</v>
      </c>
      <c r="N133" s="16" t="str">
        <f t="shared" si="13"/>
        <v>Minor</v>
      </c>
      <c r="O133" s="21">
        <f t="shared" si="14"/>
        <v>3</v>
      </c>
      <c r="P133" s="21">
        <f t="shared" si="15"/>
        <v>3</v>
      </c>
      <c r="Q133" s="16" t="str">
        <f t="shared" si="16"/>
        <v>Development Needed</v>
      </c>
      <c r="R133" s="16" t="s">
        <v>228</v>
      </c>
      <c r="S133" s="23">
        <v>45789.24357770833</v>
      </c>
      <c r="T133" s="25">
        <f t="shared" ca="1" si="17"/>
        <v>412.75642229166988</v>
      </c>
      <c r="U133" s="16" t="s">
        <v>223</v>
      </c>
      <c r="V133" s="16" t="s">
        <v>233</v>
      </c>
      <c r="W133" s="6" t="str">
        <f ca="1">IF(R133="Missing","Missing evidence",IF(T133&gt;365,"Stale assessment",IF(COUNTIFS($B$2:$B$264,B133,$G$2:$G$264,G133)&gt;1,"Duplicate competency record",IF(INDEX(employees!$H$2:$H$37,MATCH(B133,employees!$A$2:$A$37,0))="Inactive","Inactive account","OK"))))</f>
        <v>Stale assessment</v>
      </c>
    </row>
    <row r="134" spans="1:23" ht="15" customHeight="1">
      <c r="A134" s="5" t="s">
        <v>363</v>
      </c>
      <c r="B134" s="16" t="s">
        <v>104</v>
      </c>
      <c r="C134" s="16" t="str">
        <f>IFERROR(INDEX(employees!$B$2:$B$37,MATCH(B134,employees!$A$2:$A$37,0)),"")</f>
        <v>Cameron Nguyen</v>
      </c>
      <c r="D134" s="16" t="str">
        <f>IFERROR(INDEX(employees!$C$2:$C$37,MATCH(B134,employees!$A$2:$A$37,0)),"")</f>
        <v>Protection &amp; Control</v>
      </c>
      <c r="E134" s="16" t="str">
        <f>IFERROR(INDEX(employees!$D$2:$D$37,MATCH(B134,employees!$A$2:$A$37,0)),"")</f>
        <v>Testing &amp; Validation</v>
      </c>
      <c r="F134" s="16" t="str">
        <f>IFERROR(INDEX(employees!$E$2:$E$37,MATCH(B134,employees!$A$2:$A$37,0)),"")</f>
        <v>Senior Engineer</v>
      </c>
      <c r="G134" s="16" t="s">
        <v>163</v>
      </c>
      <c r="H134" s="16" t="str">
        <f>IFERROR(INDEX(competency_model!$C$2:$C$25,MATCH(G134,competency_model!$A$2:$A$25,0)),"")</f>
        <v>Engineering Documentation</v>
      </c>
      <c r="I134" s="16" t="str">
        <f>IFERROR(INDEX(competency_model!$D$2:$D$25,MATCH(G134,competency_model!$A$2:$A$25,0)),"")</f>
        <v>Technical Documentation</v>
      </c>
      <c r="J134" s="16">
        <f>IFERROR(INDEX(competency_model!$F$2:$F$25,MATCH(G134,competency_model!$A$2:$A$25,0)),"")</f>
        <v>4</v>
      </c>
      <c r="K134" s="16" t="str">
        <f>IFERROR(INDEX(competency_model!$G$2:$G$25,MATCH(G134,competency_model!$A$2:$A$25,0)),"")</f>
        <v>High</v>
      </c>
      <c r="L134" s="21">
        <v>1</v>
      </c>
      <c r="M134" s="21">
        <f t="shared" si="12"/>
        <v>3</v>
      </c>
      <c r="N134" s="16" t="str">
        <f t="shared" si="13"/>
        <v>Critical</v>
      </c>
      <c r="O134" s="21">
        <f t="shared" si="14"/>
        <v>3</v>
      </c>
      <c r="P134" s="21">
        <f t="shared" si="15"/>
        <v>9</v>
      </c>
      <c r="Q134" s="16" t="str">
        <f t="shared" si="16"/>
        <v>Development Needed</v>
      </c>
      <c r="R134" s="16" t="s">
        <v>225</v>
      </c>
      <c r="S134" s="23">
        <v>45746.140820196757</v>
      </c>
      <c r="T134" s="25">
        <f t="shared" ca="1" si="17"/>
        <v>455.85917980324302</v>
      </c>
      <c r="U134" s="16" t="s">
        <v>223</v>
      </c>
      <c r="V134" s="16"/>
      <c r="W134" s="6" t="str">
        <f ca="1">IF(R134="Missing","Missing evidence",IF(T134&gt;365,"Stale assessment",IF(COUNTIFS($B$2:$B$264,B134,$G$2:$G$264,G134)&gt;1,"Duplicate competency record",IF(INDEX(employees!$H$2:$H$37,MATCH(B134,employees!$A$2:$A$37,0))="Inactive","Inactive account","OK"))))</f>
        <v>Stale assessment</v>
      </c>
    </row>
    <row r="135" spans="1:23" ht="15" customHeight="1">
      <c r="A135" s="5" t="s">
        <v>364</v>
      </c>
      <c r="B135" s="16" t="s">
        <v>104</v>
      </c>
      <c r="C135" s="16" t="str">
        <f>IFERROR(INDEX(employees!$B$2:$B$37,MATCH(B135,employees!$A$2:$A$37,0)),"")</f>
        <v>Cameron Nguyen</v>
      </c>
      <c r="D135" s="16" t="str">
        <f>IFERROR(INDEX(employees!$C$2:$C$37,MATCH(B135,employees!$A$2:$A$37,0)),"")</f>
        <v>Protection &amp; Control</v>
      </c>
      <c r="E135" s="16" t="str">
        <f>IFERROR(INDEX(employees!$D$2:$D$37,MATCH(B135,employees!$A$2:$A$37,0)),"")</f>
        <v>Testing &amp; Validation</v>
      </c>
      <c r="F135" s="16" t="str">
        <f>IFERROR(INDEX(employees!$E$2:$E$37,MATCH(B135,employees!$A$2:$A$37,0)),"")</f>
        <v>Senior Engineer</v>
      </c>
      <c r="G135" s="16" t="s">
        <v>173</v>
      </c>
      <c r="H135" s="16" t="str">
        <f>IFERROR(INDEX(competency_model!$C$2:$C$25,MATCH(G135,competency_model!$A$2:$A$25,0)),"")</f>
        <v>Testing &amp; Validation</v>
      </c>
      <c r="I135" s="16" t="str">
        <f>IFERROR(INDEX(competency_model!$D$2:$D$25,MATCH(G135,competency_model!$A$2:$A$25,0)),"")</f>
        <v>Defect Investigation</v>
      </c>
      <c r="J135" s="16">
        <f>IFERROR(INDEX(competency_model!$F$2:$F$25,MATCH(G135,competency_model!$A$2:$A$25,0)),"")</f>
        <v>3</v>
      </c>
      <c r="K135" s="16" t="str">
        <f>IFERROR(INDEX(competency_model!$G$2:$G$25,MATCH(G135,competency_model!$A$2:$A$25,0)),"")</f>
        <v>Medium</v>
      </c>
      <c r="L135" s="21">
        <v>2</v>
      </c>
      <c r="M135" s="21">
        <f t="shared" si="12"/>
        <v>1</v>
      </c>
      <c r="N135" s="16" t="str">
        <f t="shared" si="13"/>
        <v>Minor</v>
      </c>
      <c r="O135" s="21">
        <f t="shared" si="14"/>
        <v>2</v>
      </c>
      <c r="P135" s="21">
        <f t="shared" si="15"/>
        <v>2</v>
      </c>
      <c r="Q135" s="16" t="str">
        <f t="shared" si="16"/>
        <v>Development Needed</v>
      </c>
      <c r="R135" s="16" t="s">
        <v>228</v>
      </c>
      <c r="S135" s="23">
        <v>46037.943516041669</v>
      </c>
      <c r="T135" s="25">
        <f t="shared" ca="1" si="17"/>
        <v>164.05648395833123</v>
      </c>
      <c r="U135" s="16" t="s">
        <v>223</v>
      </c>
      <c r="V135" s="16"/>
      <c r="W135" s="6" t="str">
        <f ca="1">IF(R135="Missing","Missing evidence",IF(T135&gt;365,"Stale assessment",IF(COUNTIFS($B$2:$B$264,B135,$G$2:$G$264,G135)&gt;1,"Duplicate competency record",IF(INDEX(employees!$H$2:$H$37,MATCH(B135,employees!$A$2:$A$37,0))="Inactive","Inactive account","OK"))))</f>
        <v>OK</v>
      </c>
    </row>
    <row r="136" spans="1:23" ht="15" customHeight="1">
      <c r="A136" s="5" t="s">
        <v>365</v>
      </c>
      <c r="B136" s="16" t="s">
        <v>104</v>
      </c>
      <c r="C136" s="16" t="str">
        <f>IFERROR(INDEX(employees!$B$2:$B$37,MATCH(B136,employees!$A$2:$A$37,0)),"")</f>
        <v>Cameron Nguyen</v>
      </c>
      <c r="D136" s="16" t="str">
        <f>IFERROR(INDEX(employees!$C$2:$C$37,MATCH(B136,employees!$A$2:$A$37,0)),"")</f>
        <v>Protection &amp; Control</v>
      </c>
      <c r="E136" s="16" t="str">
        <f>IFERROR(INDEX(employees!$D$2:$D$37,MATCH(B136,employees!$A$2:$A$37,0)),"")</f>
        <v>Testing &amp; Validation</v>
      </c>
      <c r="F136" s="16" t="str">
        <f>IFERROR(INDEX(employees!$E$2:$E$37,MATCH(B136,employees!$A$2:$A$37,0)),"")</f>
        <v>Senior Engineer</v>
      </c>
      <c r="G136" s="16" t="s">
        <v>192</v>
      </c>
      <c r="H136" s="16" t="str">
        <f>IFERROR(INDEX(competency_model!$C$2:$C$25,MATCH(G136,competency_model!$A$2:$A$25,0)),"")</f>
        <v>Data Quality</v>
      </c>
      <c r="I136" s="16" t="str">
        <f>IFERROR(INDEX(competency_model!$D$2:$D$25,MATCH(G136,competency_model!$A$2:$A$25,0)),"")</f>
        <v>Assessment Evidence Validation</v>
      </c>
      <c r="J136" s="16">
        <f>IFERROR(INDEX(competency_model!$F$2:$F$25,MATCH(G136,competency_model!$A$2:$A$25,0)),"")</f>
        <v>4</v>
      </c>
      <c r="K136" s="16" t="str">
        <f>IFERROR(INDEX(competency_model!$G$2:$G$25,MATCH(G136,competency_model!$A$2:$A$25,0)),"")</f>
        <v>High</v>
      </c>
      <c r="L136" s="21">
        <v>3</v>
      </c>
      <c r="M136" s="21">
        <f t="shared" si="12"/>
        <v>1</v>
      </c>
      <c r="N136" s="16" t="str">
        <f t="shared" si="13"/>
        <v>Minor</v>
      </c>
      <c r="O136" s="21">
        <f t="shared" si="14"/>
        <v>3</v>
      </c>
      <c r="P136" s="21">
        <f t="shared" si="15"/>
        <v>3</v>
      </c>
      <c r="Q136" s="16" t="str">
        <f t="shared" si="16"/>
        <v>Development Needed</v>
      </c>
      <c r="R136" s="16" t="s">
        <v>222</v>
      </c>
      <c r="S136" s="23">
        <v>46042.70589568287</v>
      </c>
      <c r="T136" s="25">
        <f t="shared" ca="1" si="17"/>
        <v>159.2941043171304</v>
      </c>
      <c r="U136" s="16" t="s">
        <v>223</v>
      </c>
      <c r="V136" s="16" t="s">
        <v>226</v>
      </c>
      <c r="W136" s="6" t="str">
        <f>IF(R136="Missing","Missing evidence",IF(T136&gt;365,"Stale assessment",IF(COUNTIFS($B$2:$B$264,B136,$G$2:$G$264,G136)&gt;1,"Duplicate competency record",IF(INDEX(employees!$H$2:$H$37,MATCH(B136,employees!$A$2:$A$37,0))="Inactive","Inactive account","OK"))))</f>
        <v>Missing evidence</v>
      </c>
    </row>
    <row r="137" spans="1:23" ht="15" customHeight="1">
      <c r="A137" s="5" t="s">
        <v>366</v>
      </c>
      <c r="B137" s="16" t="s">
        <v>104</v>
      </c>
      <c r="C137" s="16" t="str">
        <f>IFERROR(INDEX(employees!$B$2:$B$37,MATCH(B137,employees!$A$2:$A$37,0)),"")</f>
        <v>Cameron Nguyen</v>
      </c>
      <c r="D137" s="16" t="str">
        <f>IFERROR(INDEX(employees!$C$2:$C$37,MATCH(B137,employees!$A$2:$A$37,0)),"")</f>
        <v>Protection &amp; Control</v>
      </c>
      <c r="E137" s="16" t="str">
        <f>IFERROR(INDEX(employees!$D$2:$D$37,MATCH(B137,employees!$A$2:$A$37,0)),"")</f>
        <v>Testing &amp; Validation</v>
      </c>
      <c r="F137" s="16" t="str">
        <f>IFERROR(INDEX(employees!$E$2:$E$37,MATCH(B137,employees!$A$2:$A$37,0)),"")</f>
        <v>Senior Engineer</v>
      </c>
      <c r="G137" s="16" t="s">
        <v>197</v>
      </c>
      <c r="H137" s="16" t="str">
        <f>IFERROR(INDEX(competency_model!$C$2:$C$25,MATCH(G137,competency_model!$A$2:$A$25,0)),"")</f>
        <v>User Support</v>
      </c>
      <c r="I137" s="16" t="str">
        <f>IFERROR(INDEX(competency_model!$D$2:$D$25,MATCH(G137,competency_model!$A$2:$A$25,0)),"")</f>
        <v>Competency Tool User Support</v>
      </c>
      <c r="J137" s="16">
        <f>IFERROR(INDEX(competency_model!$F$2:$F$25,MATCH(G137,competency_model!$A$2:$A$25,0)),"")</f>
        <v>3</v>
      </c>
      <c r="K137" s="16" t="str">
        <f>IFERROR(INDEX(competency_model!$G$2:$G$25,MATCH(G137,competency_model!$A$2:$A$25,0)),"")</f>
        <v>Medium</v>
      </c>
      <c r="L137" s="21">
        <v>1</v>
      </c>
      <c r="M137" s="21">
        <f t="shared" si="12"/>
        <v>2</v>
      </c>
      <c r="N137" s="16" t="str">
        <f t="shared" si="13"/>
        <v>Moderate</v>
      </c>
      <c r="O137" s="21">
        <f t="shared" si="14"/>
        <v>2</v>
      </c>
      <c r="P137" s="21">
        <f t="shared" si="15"/>
        <v>4</v>
      </c>
      <c r="Q137" s="16" t="str">
        <f t="shared" si="16"/>
        <v>Development Needed</v>
      </c>
      <c r="R137" s="16" t="s">
        <v>228</v>
      </c>
      <c r="S137" s="23">
        <v>45741.293722962961</v>
      </c>
      <c r="T137" s="25">
        <f t="shared" ca="1" si="17"/>
        <v>460.7062770370394</v>
      </c>
      <c r="U137" s="16" t="s">
        <v>223</v>
      </c>
      <c r="V137" s="16" t="s">
        <v>231</v>
      </c>
      <c r="W137" s="6" t="str">
        <f ca="1">IF(R137="Missing","Missing evidence",IF(T137&gt;365,"Stale assessment",IF(COUNTIFS($B$2:$B$264,B137,$G$2:$G$264,G137)&gt;1,"Duplicate competency record",IF(INDEX(employees!$H$2:$H$37,MATCH(B137,employees!$A$2:$A$37,0))="Inactive","Inactive account","OK"))))</f>
        <v>Stale assessment</v>
      </c>
    </row>
    <row r="138" spans="1:23" ht="15" customHeight="1">
      <c r="A138" s="5" t="s">
        <v>367</v>
      </c>
      <c r="B138" s="16" t="s">
        <v>104</v>
      </c>
      <c r="C138" s="16" t="str">
        <f>IFERROR(INDEX(employees!$B$2:$B$37,MATCH(B138,employees!$A$2:$A$37,0)),"")</f>
        <v>Cameron Nguyen</v>
      </c>
      <c r="D138" s="16" t="str">
        <f>IFERROR(INDEX(employees!$C$2:$C$37,MATCH(B138,employees!$A$2:$A$37,0)),"")</f>
        <v>Protection &amp; Control</v>
      </c>
      <c r="E138" s="16" t="str">
        <f>IFERROR(INDEX(employees!$D$2:$D$37,MATCH(B138,employees!$A$2:$A$37,0)),"")</f>
        <v>Testing &amp; Validation</v>
      </c>
      <c r="F138" s="16" t="str">
        <f>IFERROR(INDEX(employees!$E$2:$E$37,MATCH(B138,employees!$A$2:$A$37,0)),"")</f>
        <v>Senior Engineer</v>
      </c>
      <c r="G138" s="16" t="s">
        <v>175</v>
      </c>
      <c r="H138" s="16" t="str">
        <f>IFERROR(INDEX(competency_model!$C$2:$C$25,MATCH(G138,competency_model!$A$2:$A$25,0)),"")</f>
        <v>Safety / Compliance</v>
      </c>
      <c r="I138" s="16" t="str">
        <f>IFERROR(INDEX(competency_model!$D$2:$D$25,MATCH(G138,competency_model!$A$2:$A$25,0)),"")</f>
        <v>Engineering Safety Awareness</v>
      </c>
      <c r="J138" s="16">
        <f>IFERROR(INDEX(competency_model!$F$2:$F$25,MATCH(G138,competency_model!$A$2:$A$25,0)),"")</f>
        <v>4</v>
      </c>
      <c r="K138" s="16" t="str">
        <f>IFERROR(INDEX(competency_model!$G$2:$G$25,MATCH(G138,competency_model!$A$2:$A$25,0)),"")</f>
        <v>High</v>
      </c>
      <c r="L138" s="21">
        <v>3</v>
      </c>
      <c r="M138" s="21">
        <f t="shared" si="12"/>
        <v>1</v>
      </c>
      <c r="N138" s="16" t="str">
        <f t="shared" si="13"/>
        <v>Minor</v>
      </c>
      <c r="O138" s="21">
        <f t="shared" si="14"/>
        <v>3</v>
      </c>
      <c r="P138" s="21">
        <f t="shared" si="15"/>
        <v>3</v>
      </c>
      <c r="Q138" s="16" t="str">
        <f t="shared" si="16"/>
        <v>Development Needed</v>
      </c>
      <c r="R138" s="16" t="s">
        <v>228</v>
      </c>
      <c r="S138" s="23">
        <v>46128.20752246528</v>
      </c>
      <c r="T138" s="25">
        <f t="shared" ca="1" si="17"/>
        <v>73.792477534720092</v>
      </c>
      <c r="U138" s="16" t="s">
        <v>223</v>
      </c>
      <c r="V138" s="16" t="s">
        <v>239</v>
      </c>
      <c r="W138" s="6" t="str">
        <f ca="1">IF(R138="Missing","Missing evidence",IF(T138&gt;365,"Stale assessment",IF(COUNTIFS($B$2:$B$264,B138,$G$2:$G$264,G138)&gt;1,"Duplicate competency record",IF(INDEX(employees!$H$2:$H$37,MATCH(B138,employees!$A$2:$A$37,0))="Inactive","Inactive account","OK"))))</f>
        <v>OK</v>
      </c>
    </row>
    <row r="139" spans="1:23" ht="15" customHeight="1">
      <c r="A139" s="5" t="s">
        <v>368</v>
      </c>
      <c r="B139" s="16" t="s">
        <v>106</v>
      </c>
      <c r="C139" s="16" t="str">
        <f>IFERROR(INDEX(employees!$B$2:$B$37,MATCH(B139,employees!$A$2:$A$37,0)),"")</f>
        <v>Sam Singh</v>
      </c>
      <c r="D139" s="16" t="str">
        <f>IFERROR(INDEX(employees!$C$2:$C$37,MATCH(B139,employees!$A$2:$A$37,0)),"")</f>
        <v>Systems Engineering</v>
      </c>
      <c r="E139" s="16" t="str">
        <f>IFERROR(INDEX(employees!$D$2:$D$37,MATCH(B139,employees!$A$2:$A$37,0)),"")</f>
        <v>Software Engineering</v>
      </c>
      <c r="F139" s="16" t="str">
        <f>IFERROR(INDEX(employees!$E$2:$E$37,MATCH(B139,employees!$A$2:$A$37,0)),"")</f>
        <v>Engineer</v>
      </c>
      <c r="G139" s="16" t="s">
        <v>178</v>
      </c>
      <c r="H139" s="16" t="str">
        <f>IFERROR(INDEX(competency_model!$C$2:$C$25,MATCH(G139,competency_model!$A$2:$A$25,0)),"")</f>
        <v>Stakeholder Communication</v>
      </c>
      <c r="I139" s="16" t="str">
        <f>IFERROR(INDEX(competency_model!$D$2:$D$25,MATCH(G139,competency_model!$A$2:$A$25,0)),"")</f>
        <v>Non-Technical Explanation</v>
      </c>
      <c r="J139" s="16">
        <f>IFERROR(INDEX(competency_model!$F$2:$F$25,MATCH(G139,competency_model!$A$2:$A$25,0)),"")</f>
        <v>3</v>
      </c>
      <c r="K139" s="16" t="str">
        <f>IFERROR(INDEX(competency_model!$G$2:$G$25,MATCH(G139,competency_model!$A$2:$A$25,0)),"")</f>
        <v>Medium</v>
      </c>
      <c r="L139" s="21">
        <v>3</v>
      </c>
      <c r="M139" s="21">
        <f t="shared" si="12"/>
        <v>0</v>
      </c>
      <c r="N139" s="16" t="str">
        <f t="shared" si="13"/>
        <v>No Gap</v>
      </c>
      <c r="O139" s="21">
        <f t="shared" si="14"/>
        <v>2</v>
      </c>
      <c r="P139" s="21">
        <f t="shared" si="15"/>
        <v>0</v>
      </c>
      <c r="Q139" s="16" t="str">
        <f t="shared" si="16"/>
        <v>Ready</v>
      </c>
      <c r="R139" s="16" t="s">
        <v>228</v>
      </c>
      <c r="S139" s="23">
        <v>46111.951459039352</v>
      </c>
      <c r="T139" s="25">
        <f t="shared" ca="1" si="17"/>
        <v>90.048540960648097</v>
      </c>
      <c r="U139" s="16" t="s">
        <v>242</v>
      </c>
      <c r="V139" s="16" t="s">
        <v>233</v>
      </c>
      <c r="W139" s="6" t="str">
        <f ca="1">IF(R139="Missing","Missing evidence",IF(T139&gt;365,"Stale assessment",IF(COUNTIFS($B$2:$B$264,B139,$G$2:$G$264,G139)&gt;1,"Duplicate competency record",IF(INDEX(employees!$H$2:$H$37,MATCH(B139,employees!$A$2:$A$37,0))="Inactive","Inactive account","OK"))))</f>
        <v>OK</v>
      </c>
    </row>
    <row r="140" spans="1:23" ht="15" customHeight="1">
      <c r="A140" s="5" t="s">
        <v>369</v>
      </c>
      <c r="B140" s="16" t="s">
        <v>106</v>
      </c>
      <c r="C140" s="16" t="str">
        <f>IFERROR(INDEX(employees!$B$2:$B$37,MATCH(B140,employees!$A$2:$A$37,0)),"")</f>
        <v>Sam Singh</v>
      </c>
      <c r="D140" s="16" t="str">
        <f>IFERROR(INDEX(employees!$C$2:$C$37,MATCH(B140,employees!$A$2:$A$37,0)),"")</f>
        <v>Systems Engineering</v>
      </c>
      <c r="E140" s="16" t="str">
        <f>IFERROR(INDEX(employees!$D$2:$D$37,MATCH(B140,employees!$A$2:$A$37,0)),"")</f>
        <v>Software Engineering</v>
      </c>
      <c r="F140" s="16" t="str">
        <f>IFERROR(INDEX(employees!$E$2:$E$37,MATCH(B140,employees!$A$2:$A$37,0)),"")</f>
        <v>Engineer</v>
      </c>
      <c r="G140" s="16" t="s">
        <v>175</v>
      </c>
      <c r="H140" s="16" t="str">
        <f>IFERROR(INDEX(competency_model!$C$2:$C$25,MATCH(G140,competency_model!$A$2:$A$25,0)),"")</f>
        <v>Safety / Compliance</v>
      </c>
      <c r="I140" s="16" t="str">
        <f>IFERROR(INDEX(competency_model!$D$2:$D$25,MATCH(G140,competency_model!$A$2:$A$25,0)),"")</f>
        <v>Engineering Safety Awareness</v>
      </c>
      <c r="J140" s="16">
        <f>IFERROR(INDEX(competency_model!$F$2:$F$25,MATCH(G140,competency_model!$A$2:$A$25,0)),"")</f>
        <v>4</v>
      </c>
      <c r="K140" s="16" t="str">
        <f>IFERROR(INDEX(competency_model!$G$2:$G$25,MATCH(G140,competency_model!$A$2:$A$25,0)),"")</f>
        <v>High</v>
      </c>
      <c r="L140" s="21">
        <v>3</v>
      </c>
      <c r="M140" s="21">
        <f t="shared" si="12"/>
        <v>1</v>
      </c>
      <c r="N140" s="16" t="str">
        <f t="shared" si="13"/>
        <v>Minor</v>
      </c>
      <c r="O140" s="21">
        <f t="shared" si="14"/>
        <v>3</v>
      </c>
      <c r="P140" s="21">
        <f t="shared" si="15"/>
        <v>3</v>
      </c>
      <c r="Q140" s="16" t="str">
        <f t="shared" si="16"/>
        <v>Development Needed</v>
      </c>
      <c r="R140" s="16" t="s">
        <v>222</v>
      </c>
      <c r="S140" s="23">
        <v>45989.768809374997</v>
      </c>
      <c r="T140" s="25">
        <f t="shared" ca="1" si="17"/>
        <v>212.23119062500336</v>
      </c>
      <c r="U140" s="16" t="s">
        <v>229</v>
      </c>
      <c r="V140" s="16" t="s">
        <v>233</v>
      </c>
      <c r="W140" s="6" t="str">
        <f>IF(R140="Missing","Missing evidence",IF(T140&gt;365,"Stale assessment",IF(COUNTIFS($B$2:$B$264,B140,$G$2:$G$264,G140)&gt;1,"Duplicate competency record",IF(INDEX(employees!$H$2:$H$37,MATCH(B140,employees!$A$2:$A$37,0))="Inactive","Inactive account","OK"))))</f>
        <v>Missing evidence</v>
      </c>
    </row>
    <row r="141" spans="1:23" ht="15" customHeight="1">
      <c r="A141" s="5" t="s">
        <v>370</v>
      </c>
      <c r="B141" s="16" t="s">
        <v>106</v>
      </c>
      <c r="C141" s="16" t="str">
        <f>IFERROR(INDEX(employees!$B$2:$B$37,MATCH(B141,employees!$A$2:$A$37,0)),"")</f>
        <v>Sam Singh</v>
      </c>
      <c r="D141" s="16" t="str">
        <f>IFERROR(INDEX(employees!$C$2:$C$37,MATCH(B141,employees!$A$2:$A$37,0)),"")</f>
        <v>Systems Engineering</v>
      </c>
      <c r="E141" s="16" t="str">
        <f>IFERROR(INDEX(employees!$D$2:$D$37,MATCH(B141,employees!$A$2:$A$37,0)),"")</f>
        <v>Software Engineering</v>
      </c>
      <c r="F141" s="16" t="str">
        <f>IFERROR(INDEX(employees!$E$2:$E$37,MATCH(B141,employees!$A$2:$A$37,0)),"")</f>
        <v>Engineer</v>
      </c>
      <c r="G141" s="16" t="s">
        <v>197</v>
      </c>
      <c r="H141" s="16" t="str">
        <f>IFERROR(INDEX(competency_model!$C$2:$C$25,MATCH(G141,competency_model!$A$2:$A$25,0)),"")</f>
        <v>User Support</v>
      </c>
      <c r="I141" s="16" t="str">
        <f>IFERROR(INDEX(competency_model!$D$2:$D$25,MATCH(G141,competency_model!$A$2:$A$25,0)),"")</f>
        <v>Competency Tool User Support</v>
      </c>
      <c r="J141" s="16">
        <f>IFERROR(INDEX(competency_model!$F$2:$F$25,MATCH(G141,competency_model!$A$2:$A$25,0)),"")</f>
        <v>3</v>
      </c>
      <c r="K141" s="16" t="str">
        <f>IFERROR(INDEX(competency_model!$G$2:$G$25,MATCH(G141,competency_model!$A$2:$A$25,0)),"")</f>
        <v>Medium</v>
      </c>
      <c r="L141" s="21">
        <v>2</v>
      </c>
      <c r="M141" s="21">
        <f t="shared" si="12"/>
        <v>1</v>
      </c>
      <c r="N141" s="16" t="str">
        <f t="shared" si="13"/>
        <v>Minor</v>
      </c>
      <c r="O141" s="21">
        <f t="shared" si="14"/>
        <v>2</v>
      </c>
      <c r="P141" s="21">
        <f t="shared" si="15"/>
        <v>2</v>
      </c>
      <c r="Q141" s="16" t="str">
        <f t="shared" si="16"/>
        <v>Development Needed</v>
      </c>
      <c r="R141" s="16" t="s">
        <v>228</v>
      </c>
      <c r="S141" s="23">
        <v>46049.02913732639</v>
      </c>
      <c r="T141" s="25">
        <f t="shared" ca="1" si="17"/>
        <v>152.9708626736101</v>
      </c>
      <c r="U141" s="16" t="s">
        <v>229</v>
      </c>
      <c r="V141" s="16"/>
      <c r="W141" s="6" t="str">
        <f ca="1">IF(R141="Missing","Missing evidence",IF(T141&gt;365,"Stale assessment",IF(COUNTIFS($B$2:$B$264,B141,$G$2:$G$264,G141)&gt;1,"Duplicate competency record",IF(INDEX(employees!$H$2:$H$37,MATCH(B141,employees!$A$2:$A$37,0))="Inactive","Inactive account","OK"))))</f>
        <v>OK</v>
      </c>
    </row>
    <row r="142" spans="1:23" ht="15" customHeight="1">
      <c r="A142" s="5" t="s">
        <v>371</v>
      </c>
      <c r="B142" s="16" t="s">
        <v>106</v>
      </c>
      <c r="C142" s="16" t="str">
        <f>IFERROR(INDEX(employees!$B$2:$B$37,MATCH(B142,employees!$A$2:$A$37,0)),"")</f>
        <v>Sam Singh</v>
      </c>
      <c r="D142" s="16" t="str">
        <f>IFERROR(INDEX(employees!$C$2:$C$37,MATCH(B142,employees!$A$2:$A$37,0)),"")</f>
        <v>Systems Engineering</v>
      </c>
      <c r="E142" s="16" t="str">
        <f>IFERROR(INDEX(employees!$D$2:$D$37,MATCH(B142,employees!$A$2:$A$37,0)),"")</f>
        <v>Software Engineering</v>
      </c>
      <c r="F142" s="16" t="str">
        <f>IFERROR(INDEX(employees!$E$2:$E$37,MATCH(B142,employees!$A$2:$A$37,0)),"")</f>
        <v>Engineer</v>
      </c>
      <c r="G142" s="16" t="s">
        <v>189</v>
      </c>
      <c r="H142" s="16" t="str">
        <f>IFERROR(INDEX(competency_model!$C$2:$C$25,MATCH(G142,competency_model!$A$2:$A$25,0)),"")</f>
        <v>Data Quality</v>
      </c>
      <c r="I142" s="16" t="str">
        <f>IFERROR(INDEX(competency_model!$D$2:$D$25,MATCH(G142,competency_model!$A$2:$A$25,0)),"")</f>
        <v>Duplicate and Missing Value Checks</v>
      </c>
      <c r="J142" s="16">
        <f>IFERROR(INDEX(competency_model!$F$2:$F$25,MATCH(G142,competency_model!$A$2:$A$25,0)),"")</f>
        <v>4</v>
      </c>
      <c r="K142" s="16" t="str">
        <f>IFERROR(INDEX(competency_model!$G$2:$G$25,MATCH(G142,competency_model!$A$2:$A$25,0)),"")</f>
        <v>High</v>
      </c>
      <c r="L142" s="21">
        <v>2</v>
      </c>
      <c r="M142" s="21">
        <f t="shared" si="12"/>
        <v>2</v>
      </c>
      <c r="N142" s="16" t="str">
        <f t="shared" si="13"/>
        <v>Moderate</v>
      </c>
      <c r="O142" s="21">
        <f t="shared" si="14"/>
        <v>3</v>
      </c>
      <c r="P142" s="21">
        <f t="shared" si="15"/>
        <v>6</v>
      </c>
      <c r="Q142" s="16" t="str">
        <f t="shared" si="16"/>
        <v>Development Needed</v>
      </c>
      <c r="R142" s="16" t="s">
        <v>225</v>
      </c>
      <c r="S142" s="23">
        <v>46128.526490601849</v>
      </c>
      <c r="T142" s="25">
        <f t="shared" ca="1" si="17"/>
        <v>73.473509398150782</v>
      </c>
      <c r="U142" s="16" t="s">
        <v>223</v>
      </c>
      <c r="V142" s="16"/>
      <c r="W142" s="6" t="str">
        <f ca="1">IF(R142="Missing","Missing evidence",IF(T142&gt;365,"Stale assessment",IF(COUNTIFS($B$2:$B$264,B142,$G$2:$G$264,G142)&gt;1,"Duplicate competency record",IF(INDEX(employees!$H$2:$H$37,MATCH(B142,employees!$A$2:$A$37,0))="Inactive","Inactive account","OK"))))</f>
        <v>OK</v>
      </c>
    </row>
    <row r="143" spans="1:23" ht="15" customHeight="1">
      <c r="A143" s="5" t="s">
        <v>372</v>
      </c>
      <c r="B143" s="16" t="s">
        <v>106</v>
      </c>
      <c r="C143" s="16" t="str">
        <f>IFERROR(INDEX(employees!$B$2:$B$37,MATCH(B143,employees!$A$2:$A$37,0)),"")</f>
        <v>Sam Singh</v>
      </c>
      <c r="D143" s="16" t="str">
        <f>IFERROR(INDEX(employees!$C$2:$C$37,MATCH(B143,employees!$A$2:$A$37,0)),"")</f>
        <v>Systems Engineering</v>
      </c>
      <c r="E143" s="16" t="str">
        <f>IFERROR(INDEX(employees!$D$2:$D$37,MATCH(B143,employees!$A$2:$A$37,0)),"")</f>
        <v>Software Engineering</v>
      </c>
      <c r="F143" s="16" t="str">
        <f>IFERROR(INDEX(employees!$E$2:$E$37,MATCH(B143,employees!$A$2:$A$37,0)),"")</f>
        <v>Engineer</v>
      </c>
      <c r="G143" s="16" t="s">
        <v>186</v>
      </c>
      <c r="H143" s="16" t="str">
        <f>IFERROR(INDEX(competency_model!$C$2:$C$25,MATCH(G143,competency_model!$A$2:$A$25,0)),"")</f>
        <v>Software Tools</v>
      </c>
      <c r="I143" s="16" t="str">
        <f>IFERROR(INDEX(competency_model!$D$2:$D$25,MATCH(G143,competency_model!$A$2:$A$25,0)),"")</f>
        <v>Version Control with Git</v>
      </c>
      <c r="J143" s="16">
        <f>IFERROR(INDEX(competency_model!$F$2:$F$25,MATCH(G143,competency_model!$A$2:$A$25,0)),"")</f>
        <v>3</v>
      </c>
      <c r="K143" s="16" t="str">
        <f>IFERROR(INDEX(competency_model!$G$2:$G$25,MATCH(G143,competency_model!$A$2:$A$25,0)),"")</f>
        <v>Medium</v>
      </c>
      <c r="L143" s="21">
        <v>1</v>
      </c>
      <c r="M143" s="21">
        <f t="shared" si="12"/>
        <v>2</v>
      </c>
      <c r="N143" s="16" t="str">
        <f t="shared" si="13"/>
        <v>Moderate</v>
      </c>
      <c r="O143" s="21">
        <f t="shared" si="14"/>
        <v>2</v>
      </c>
      <c r="P143" s="21">
        <f t="shared" si="15"/>
        <v>4</v>
      </c>
      <c r="Q143" s="16" t="str">
        <f t="shared" si="16"/>
        <v>Development Needed</v>
      </c>
      <c r="R143" s="16" t="s">
        <v>225</v>
      </c>
      <c r="S143" s="23">
        <v>45997.75147541667</v>
      </c>
      <c r="T143" s="25">
        <f t="shared" ca="1" si="17"/>
        <v>204.24852458333044</v>
      </c>
      <c r="U143" s="16" t="s">
        <v>242</v>
      </c>
      <c r="V143" s="16" t="s">
        <v>233</v>
      </c>
      <c r="W143" s="6" t="str">
        <f ca="1">IF(R143="Missing","Missing evidence",IF(T143&gt;365,"Stale assessment",IF(COUNTIFS($B$2:$B$264,B143,$G$2:$G$264,G143)&gt;1,"Duplicate competency record",IF(INDEX(employees!$H$2:$H$37,MATCH(B143,employees!$A$2:$A$37,0))="Inactive","Inactive account","OK"))))</f>
        <v>OK</v>
      </c>
    </row>
    <row r="144" spans="1:23" ht="15" customHeight="1">
      <c r="A144" s="5" t="s">
        <v>373</v>
      </c>
      <c r="B144" s="16" t="s">
        <v>106</v>
      </c>
      <c r="C144" s="16" t="str">
        <f>IFERROR(INDEX(employees!$B$2:$B$37,MATCH(B144,employees!$A$2:$A$37,0)),"")</f>
        <v>Sam Singh</v>
      </c>
      <c r="D144" s="16" t="str">
        <f>IFERROR(INDEX(employees!$C$2:$C$37,MATCH(B144,employees!$A$2:$A$37,0)),"")</f>
        <v>Systems Engineering</v>
      </c>
      <c r="E144" s="16" t="str">
        <f>IFERROR(INDEX(employees!$D$2:$D$37,MATCH(B144,employees!$A$2:$A$37,0)),"")</f>
        <v>Software Engineering</v>
      </c>
      <c r="F144" s="16" t="str">
        <f>IFERROR(INDEX(employees!$E$2:$E$37,MATCH(B144,employees!$A$2:$A$37,0)),"")</f>
        <v>Engineer</v>
      </c>
      <c r="G144" s="16" t="s">
        <v>151</v>
      </c>
      <c r="H144" s="16" t="str">
        <f>IFERROR(INDEX(competency_model!$C$2:$C$25,MATCH(G144,competency_model!$A$2:$A$25,0)),"")</f>
        <v>Data Analysis</v>
      </c>
      <c r="I144" s="16" t="str">
        <f>IFERROR(INDEX(competency_model!$D$2:$D$25,MATCH(G144,competency_model!$A$2:$A$25,0)),"")</f>
        <v>SQL Querying</v>
      </c>
      <c r="J144" s="16">
        <f>IFERROR(INDEX(competency_model!$F$2:$F$25,MATCH(G144,competency_model!$A$2:$A$25,0)),"")</f>
        <v>3</v>
      </c>
      <c r="K144" s="16" t="str">
        <f>IFERROR(INDEX(competency_model!$G$2:$G$25,MATCH(G144,competency_model!$A$2:$A$25,0)),"")</f>
        <v>Medium</v>
      </c>
      <c r="L144" s="21">
        <v>3</v>
      </c>
      <c r="M144" s="21">
        <f t="shared" si="12"/>
        <v>0</v>
      </c>
      <c r="N144" s="16" t="str">
        <f t="shared" si="13"/>
        <v>No Gap</v>
      </c>
      <c r="O144" s="21">
        <f t="shared" si="14"/>
        <v>2</v>
      </c>
      <c r="P144" s="21">
        <f t="shared" si="15"/>
        <v>0</v>
      </c>
      <c r="Q144" s="16" t="str">
        <f t="shared" si="16"/>
        <v>Ready</v>
      </c>
      <c r="R144" s="16" t="s">
        <v>228</v>
      </c>
      <c r="S144" s="23">
        <v>46130.099793298614</v>
      </c>
      <c r="T144" s="25">
        <f t="shared" ca="1" si="17"/>
        <v>71.900206701386196</v>
      </c>
      <c r="U144" s="16" t="s">
        <v>223</v>
      </c>
      <c r="V144" s="16" t="s">
        <v>233</v>
      </c>
      <c r="W144" s="6" t="str">
        <f ca="1">IF(R144="Missing","Missing evidence",IF(T144&gt;365,"Stale assessment",IF(COUNTIFS($B$2:$B$264,B144,$G$2:$G$264,G144)&gt;1,"Duplicate competency record",IF(INDEX(employees!$H$2:$H$37,MATCH(B144,employees!$A$2:$A$37,0))="Inactive","Inactive account","OK"))))</f>
        <v>OK</v>
      </c>
    </row>
    <row r="145" spans="1:23" ht="15" customHeight="1">
      <c r="A145" s="5" t="s">
        <v>374</v>
      </c>
      <c r="B145" s="16" t="s">
        <v>108</v>
      </c>
      <c r="C145" s="16" t="str">
        <f>IFERROR(INDEX(employees!$B$2:$B$37,MATCH(B145,employees!$A$2:$A$37,0)),"")</f>
        <v>Jordan Patel</v>
      </c>
      <c r="D145" s="16" t="str">
        <f>IFERROR(INDEX(employees!$C$2:$C$37,MATCH(B145,employees!$A$2:$A$37,0)),"")</f>
        <v>Asset Management</v>
      </c>
      <c r="E145" s="16" t="str">
        <f>IFERROR(INDEX(employees!$D$2:$D$37,MATCH(B145,employees!$A$2:$A$37,0)),"")</f>
        <v>Data &amp; Reporting</v>
      </c>
      <c r="F145" s="16" t="str">
        <f>IFERROR(INDEX(employees!$E$2:$E$37,MATCH(B145,employees!$A$2:$A$37,0)),"")</f>
        <v>Graduate</v>
      </c>
      <c r="G145" s="16" t="s">
        <v>175</v>
      </c>
      <c r="H145" s="16" t="str">
        <f>IFERROR(INDEX(competency_model!$C$2:$C$25,MATCH(G145,competency_model!$A$2:$A$25,0)),"")</f>
        <v>Safety / Compliance</v>
      </c>
      <c r="I145" s="16" t="str">
        <f>IFERROR(INDEX(competency_model!$D$2:$D$25,MATCH(G145,competency_model!$A$2:$A$25,0)),"")</f>
        <v>Engineering Safety Awareness</v>
      </c>
      <c r="J145" s="16">
        <f>IFERROR(INDEX(competency_model!$F$2:$F$25,MATCH(G145,competency_model!$A$2:$A$25,0)),"")</f>
        <v>4</v>
      </c>
      <c r="K145" s="16" t="str">
        <f>IFERROR(INDEX(competency_model!$G$2:$G$25,MATCH(G145,competency_model!$A$2:$A$25,0)),"")</f>
        <v>High</v>
      </c>
      <c r="L145" s="21">
        <v>1</v>
      </c>
      <c r="M145" s="21">
        <f t="shared" si="12"/>
        <v>3</v>
      </c>
      <c r="N145" s="16" t="str">
        <f t="shared" si="13"/>
        <v>Critical</v>
      </c>
      <c r="O145" s="21">
        <f t="shared" si="14"/>
        <v>3</v>
      </c>
      <c r="P145" s="21">
        <f t="shared" si="15"/>
        <v>9</v>
      </c>
      <c r="Q145" s="16" t="str">
        <f t="shared" si="16"/>
        <v>Development Needed</v>
      </c>
      <c r="R145" s="16" t="s">
        <v>222</v>
      </c>
      <c r="S145" s="23">
        <v>46140.422576539349</v>
      </c>
      <c r="T145" s="25">
        <f t="shared" ca="1" si="17"/>
        <v>61.577423460650607</v>
      </c>
      <c r="U145" s="16" t="s">
        <v>242</v>
      </c>
      <c r="V145" s="16"/>
      <c r="W145" s="6" t="str">
        <f>IF(R145="Missing","Missing evidence",IF(T145&gt;365,"Stale assessment",IF(COUNTIFS($B$2:$B$264,B145,$G$2:$G$264,G145)&gt;1,"Duplicate competency record",IF(INDEX(employees!$H$2:$H$37,MATCH(B145,employees!$A$2:$A$37,0))="Inactive","Inactive account","OK"))))</f>
        <v>Missing evidence</v>
      </c>
    </row>
    <row r="146" spans="1:23" ht="15" customHeight="1">
      <c r="A146" s="5" t="s">
        <v>375</v>
      </c>
      <c r="B146" s="16" t="s">
        <v>108</v>
      </c>
      <c r="C146" s="16" t="str">
        <f>IFERROR(INDEX(employees!$B$2:$B$37,MATCH(B146,employees!$A$2:$A$37,0)),"")</f>
        <v>Jordan Patel</v>
      </c>
      <c r="D146" s="16" t="str">
        <f>IFERROR(INDEX(employees!$C$2:$C$37,MATCH(B146,employees!$A$2:$A$37,0)),"")</f>
        <v>Asset Management</v>
      </c>
      <c r="E146" s="16" t="str">
        <f>IFERROR(INDEX(employees!$D$2:$D$37,MATCH(B146,employees!$A$2:$A$37,0)),"")</f>
        <v>Data &amp; Reporting</v>
      </c>
      <c r="F146" s="16" t="str">
        <f>IFERROR(INDEX(employees!$E$2:$E$37,MATCH(B146,employees!$A$2:$A$37,0)),"")</f>
        <v>Graduate</v>
      </c>
      <c r="G146" s="16" t="s">
        <v>189</v>
      </c>
      <c r="H146" s="16" t="str">
        <f>IFERROR(INDEX(competency_model!$C$2:$C$25,MATCH(G146,competency_model!$A$2:$A$25,0)),"")</f>
        <v>Data Quality</v>
      </c>
      <c r="I146" s="16" t="str">
        <f>IFERROR(INDEX(competency_model!$D$2:$D$25,MATCH(G146,competency_model!$A$2:$A$25,0)),"")</f>
        <v>Duplicate and Missing Value Checks</v>
      </c>
      <c r="J146" s="16">
        <f>IFERROR(INDEX(competency_model!$F$2:$F$25,MATCH(G146,competency_model!$A$2:$A$25,0)),"")</f>
        <v>4</v>
      </c>
      <c r="K146" s="16" t="str">
        <f>IFERROR(INDEX(competency_model!$G$2:$G$25,MATCH(G146,competency_model!$A$2:$A$25,0)),"")</f>
        <v>High</v>
      </c>
      <c r="L146" s="21">
        <v>3</v>
      </c>
      <c r="M146" s="21">
        <f t="shared" si="12"/>
        <v>1</v>
      </c>
      <c r="N146" s="16" t="str">
        <f t="shared" si="13"/>
        <v>Minor</v>
      </c>
      <c r="O146" s="21">
        <f t="shared" si="14"/>
        <v>3</v>
      </c>
      <c r="P146" s="21">
        <f t="shared" si="15"/>
        <v>3</v>
      </c>
      <c r="Q146" s="16" t="str">
        <f t="shared" si="16"/>
        <v>Development Needed</v>
      </c>
      <c r="R146" s="16" t="s">
        <v>222</v>
      </c>
      <c r="S146" s="23">
        <v>46076.692022476855</v>
      </c>
      <c r="T146" s="25">
        <f t="shared" ca="1" si="17"/>
        <v>125.30797752314538</v>
      </c>
      <c r="U146" s="16" t="s">
        <v>223</v>
      </c>
      <c r="V146" s="16" t="s">
        <v>226</v>
      </c>
      <c r="W146" s="6" t="str">
        <f>IF(R146="Missing","Missing evidence",IF(T146&gt;365,"Stale assessment",IF(COUNTIFS($B$2:$B$264,B146,$G$2:$G$264,G146)&gt;1,"Duplicate competency record",IF(INDEX(employees!$H$2:$H$37,MATCH(B146,employees!$A$2:$A$37,0))="Inactive","Inactive account","OK"))))</f>
        <v>Missing evidence</v>
      </c>
    </row>
    <row r="147" spans="1:23" ht="15" customHeight="1">
      <c r="A147" s="5" t="s">
        <v>376</v>
      </c>
      <c r="B147" s="16" t="s">
        <v>108</v>
      </c>
      <c r="C147" s="16" t="str">
        <f>IFERROR(INDEX(employees!$B$2:$B$37,MATCH(B147,employees!$A$2:$A$37,0)),"")</f>
        <v>Jordan Patel</v>
      </c>
      <c r="D147" s="16" t="str">
        <f>IFERROR(INDEX(employees!$C$2:$C$37,MATCH(B147,employees!$A$2:$A$37,0)),"")</f>
        <v>Asset Management</v>
      </c>
      <c r="E147" s="16" t="str">
        <f>IFERROR(INDEX(employees!$D$2:$D$37,MATCH(B147,employees!$A$2:$A$37,0)),"")</f>
        <v>Data &amp; Reporting</v>
      </c>
      <c r="F147" s="16" t="str">
        <f>IFERROR(INDEX(employees!$E$2:$E$37,MATCH(B147,employees!$A$2:$A$37,0)),"")</f>
        <v>Graduate</v>
      </c>
      <c r="G147" s="16" t="s">
        <v>202</v>
      </c>
      <c r="H147" s="16" t="str">
        <f>IFERROR(INDEX(competency_model!$C$2:$C$25,MATCH(G147,competency_model!$A$2:$A$25,0)),"")</f>
        <v>Tableau</v>
      </c>
      <c r="I147" s="16" t="str">
        <f>IFERROR(INDEX(competency_model!$D$2:$D$25,MATCH(G147,competency_model!$A$2:$A$25,0)),"")</f>
        <v>Dashboard Filtering and Actions</v>
      </c>
      <c r="J147" s="16">
        <f>IFERROR(INDEX(competency_model!$F$2:$F$25,MATCH(G147,competency_model!$A$2:$A$25,0)),"")</f>
        <v>3</v>
      </c>
      <c r="K147" s="16" t="str">
        <f>IFERROR(INDEX(competency_model!$G$2:$G$25,MATCH(G147,competency_model!$A$2:$A$25,0)),"")</f>
        <v>Medium</v>
      </c>
      <c r="L147" s="21">
        <v>1</v>
      </c>
      <c r="M147" s="21">
        <f t="shared" si="12"/>
        <v>2</v>
      </c>
      <c r="N147" s="16" t="str">
        <f t="shared" si="13"/>
        <v>Moderate</v>
      </c>
      <c r="O147" s="21">
        <f t="shared" si="14"/>
        <v>2</v>
      </c>
      <c r="P147" s="21">
        <f t="shared" si="15"/>
        <v>4</v>
      </c>
      <c r="Q147" s="16" t="str">
        <f t="shared" si="16"/>
        <v>Development Needed</v>
      </c>
      <c r="R147" s="16" t="s">
        <v>228</v>
      </c>
      <c r="S147" s="23">
        <v>46035.687459328707</v>
      </c>
      <c r="T147" s="25">
        <f t="shared" ca="1" si="17"/>
        <v>166.31254067129339</v>
      </c>
      <c r="U147" s="16" t="s">
        <v>229</v>
      </c>
      <c r="V147" s="16" t="s">
        <v>226</v>
      </c>
      <c r="W147" s="6" t="str">
        <f ca="1">IF(R147="Missing","Missing evidence",IF(T147&gt;365,"Stale assessment",IF(COUNTIFS($B$2:$B$264,B147,$G$2:$G$264,G147)&gt;1,"Duplicate competency record",IF(INDEX(employees!$H$2:$H$37,MATCH(B147,employees!$A$2:$A$37,0))="Inactive","Inactive account","OK"))))</f>
        <v>OK</v>
      </c>
    </row>
    <row r="148" spans="1:23" ht="15" customHeight="1">
      <c r="A148" s="5" t="s">
        <v>377</v>
      </c>
      <c r="B148" s="16" t="s">
        <v>108</v>
      </c>
      <c r="C148" s="16" t="str">
        <f>IFERROR(INDEX(employees!$B$2:$B$37,MATCH(B148,employees!$A$2:$A$37,0)),"")</f>
        <v>Jordan Patel</v>
      </c>
      <c r="D148" s="16" t="str">
        <f>IFERROR(INDEX(employees!$C$2:$C$37,MATCH(B148,employees!$A$2:$A$37,0)),"")</f>
        <v>Asset Management</v>
      </c>
      <c r="E148" s="16" t="str">
        <f>IFERROR(INDEX(employees!$D$2:$D$37,MATCH(B148,employees!$A$2:$A$37,0)),"")</f>
        <v>Data &amp; Reporting</v>
      </c>
      <c r="F148" s="16" t="str">
        <f>IFERROR(INDEX(employees!$E$2:$E$37,MATCH(B148,employees!$A$2:$A$37,0)),"")</f>
        <v>Graduate</v>
      </c>
      <c r="G148" s="16" t="s">
        <v>160</v>
      </c>
      <c r="H148" s="16" t="str">
        <f>IFERROR(INDEX(competency_model!$C$2:$C$25,MATCH(G148,competency_model!$A$2:$A$25,0)),"")</f>
        <v>PowerPoint Presentation</v>
      </c>
      <c r="I148" s="16" t="str">
        <f>IFERROR(INDEX(competency_model!$D$2:$D$25,MATCH(G148,competency_model!$A$2:$A$25,0)),"")</f>
        <v>Leadership Storytelling</v>
      </c>
      <c r="J148" s="16">
        <f>IFERROR(INDEX(competency_model!$F$2:$F$25,MATCH(G148,competency_model!$A$2:$A$25,0)),"")</f>
        <v>3</v>
      </c>
      <c r="K148" s="16" t="str">
        <f>IFERROR(INDEX(competency_model!$G$2:$G$25,MATCH(G148,competency_model!$A$2:$A$25,0)),"")</f>
        <v>Medium</v>
      </c>
      <c r="L148" s="21">
        <v>1</v>
      </c>
      <c r="M148" s="21">
        <f t="shared" si="12"/>
        <v>2</v>
      </c>
      <c r="N148" s="16" t="str">
        <f t="shared" si="13"/>
        <v>Moderate</v>
      </c>
      <c r="O148" s="21">
        <f t="shared" si="14"/>
        <v>2</v>
      </c>
      <c r="P148" s="21">
        <f t="shared" si="15"/>
        <v>4</v>
      </c>
      <c r="Q148" s="16" t="str">
        <f t="shared" si="16"/>
        <v>Development Needed</v>
      </c>
      <c r="R148" s="16" t="s">
        <v>228</v>
      </c>
      <c r="S148" s="23">
        <v>45727.871791215279</v>
      </c>
      <c r="T148" s="25">
        <f t="shared" ca="1" si="17"/>
        <v>474.12820878472121</v>
      </c>
      <c r="U148" s="16" t="s">
        <v>223</v>
      </c>
      <c r="V148" s="16" t="s">
        <v>233</v>
      </c>
      <c r="W148" s="6" t="str">
        <f ca="1">IF(R148="Missing","Missing evidence",IF(T148&gt;365,"Stale assessment",IF(COUNTIFS($B$2:$B$264,B148,$G$2:$G$264,G148)&gt;1,"Duplicate competency record",IF(INDEX(employees!$H$2:$H$37,MATCH(B148,employees!$A$2:$A$37,0))="Inactive","Inactive account","OK"))))</f>
        <v>Stale assessment</v>
      </c>
    </row>
    <row r="149" spans="1:23" ht="15" customHeight="1">
      <c r="A149" s="5" t="s">
        <v>378</v>
      </c>
      <c r="B149" s="16" t="s">
        <v>108</v>
      </c>
      <c r="C149" s="16" t="str">
        <f>IFERROR(INDEX(employees!$B$2:$B$37,MATCH(B149,employees!$A$2:$A$37,0)),"")</f>
        <v>Jordan Patel</v>
      </c>
      <c r="D149" s="16" t="str">
        <f>IFERROR(INDEX(employees!$C$2:$C$37,MATCH(B149,employees!$A$2:$A$37,0)),"")</f>
        <v>Asset Management</v>
      </c>
      <c r="E149" s="16" t="str">
        <f>IFERROR(INDEX(employees!$D$2:$D$37,MATCH(B149,employees!$A$2:$A$37,0)),"")</f>
        <v>Data &amp; Reporting</v>
      </c>
      <c r="F149" s="16" t="str">
        <f>IFERROR(INDEX(employees!$E$2:$E$37,MATCH(B149,employees!$A$2:$A$37,0)),"")</f>
        <v>Graduate</v>
      </c>
      <c r="G149" s="16" t="s">
        <v>151</v>
      </c>
      <c r="H149" s="16" t="str">
        <f>IFERROR(INDEX(competency_model!$C$2:$C$25,MATCH(G149,competency_model!$A$2:$A$25,0)),"")</f>
        <v>Data Analysis</v>
      </c>
      <c r="I149" s="16" t="str">
        <f>IFERROR(INDEX(competency_model!$D$2:$D$25,MATCH(G149,competency_model!$A$2:$A$25,0)),"")</f>
        <v>SQL Querying</v>
      </c>
      <c r="J149" s="16">
        <f>IFERROR(INDEX(competency_model!$F$2:$F$25,MATCH(G149,competency_model!$A$2:$A$25,0)),"")</f>
        <v>3</v>
      </c>
      <c r="K149" s="16" t="str">
        <f>IFERROR(INDEX(competency_model!$G$2:$G$25,MATCH(G149,competency_model!$A$2:$A$25,0)),"")</f>
        <v>Medium</v>
      </c>
      <c r="L149" s="21">
        <v>1</v>
      </c>
      <c r="M149" s="21">
        <f t="shared" si="12"/>
        <v>2</v>
      </c>
      <c r="N149" s="16" t="str">
        <f t="shared" si="13"/>
        <v>Moderate</v>
      </c>
      <c r="O149" s="21">
        <f t="shared" si="14"/>
        <v>2</v>
      </c>
      <c r="P149" s="21">
        <f t="shared" si="15"/>
        <v>4</v>
      </c>
      <c r="Q149" s="16" t="str">
        <f t="shared" si="16"/>
        <v>Development Needed</v>
      </c>
      <c r="R149" s="16" t="s">
        <v>225</v>
      </c>
      <c r="S149" s="23">
        <v>45770.454065821759</v>
      </c>
      <c r="T149" s="25">
        <f t="shared" ca="1" si="17"/>
        <v>431.54593417824071</v>
      </c>
      <c r="U149" s="16" t="s">
        <v>223</v>
      </c>
      <c r="V149" s="16" t="s">
        <v>226</v>
      </c>
      <c r="W149" s="6" t="str">
        <f ca="1">IF(R149="Missing","Missing evidence",IF(T149&gt;365,"Stale assessment",IF(COUNTIFS($B$2:$B$264,B149,$G$2:$G$264,G149)&gt;1,"Duplicate competency record",IF(INDEX(employees!$H$2:$H$37,MATCH(B149,employees!$A$2:$A$37,0))="Inactive","Inactive account","OK"))))</f>
        <v>Stale assessment</v>
      </c>
    </row>
    <row r="150" spans="1:23" ht="15" customHeight="1">
      <c r="A150" s="5" t="s">
        <v>379</v>
      </c>
      <c r="B150" s="16" t="s">
        <v>108</v>
      </c>
      <c r="C150" s="16" t="str">
        <f>IFERROR(INDEX(employees!$B$2:$B$37,MATCH(B150,employees!$A$2:$A$37,0)),"")</f>
        <v>Jordan Patel</v>
      </c>
      <c r="D150" s="16" t="str">
        <f>IFERROR(INDEX(employees!$C$2:$C$37,MATCH(B150,employees!$A$2:$A$37,0)),"")</f>
        <v>Asset Management</v>
      </c>
      <c r="E150" s="16" t="str">
        <f>IFERROR(INDEX(employees!$D$2:$D$37,MATCH(B150,employees!$A$2:$A$37,0)),"")</f>
        <v>Data &amp; Reporting</v>
      </c>
      <c r="F150" s="16" t="str">
        <f>IFERROR(INDEX(employees!$E$2:$E$37,MATCH(B150,employees!$A$2:$A$37,0)),"")</f>
        <v>Graduate</v>
      </c>
      <c r="G150" s="16" t="s">
        <v>149</v>
      </c>
      <c r="H150" s="16" t="str">
        <f>IFERROR(INDEX(competency_model!$C$2:$C$25,MATCH(G150,competency_model!$A$2:$A$25,0)),"")</f>
        <v>Data Analysis</v>
      </c>
      <c r="I150" s="16" t="str">
        <f>IFERROR(INDEX(competency_model!$D$2:$D$25,MATCH(G150,competency_model!$A$2:$A$25,0)),"")</f>
        <v>Python Data Cleaning</v>
      </c>
      <c r="J150" s="16">
        <f>IFERROR(INDEX(competency_model!$F$2:$F$25,MATCH(G150,competency_model!$A$2:$A$25,0)),"")</f>
        <v>4</v>
      </c>
      <c r="K150" s="16" t="str">
        <f>IFERROR(INDEX(competency_model!$G$2:$G$25,MATCH(G150,competency_model!$A$2:$A$25,0)),"")</f>
        <v>High</v>
      </c>
      <c r="L150" s="21">
        <v>2</v>
      </c>
      <c r="M150" s="21">
        <f t="shared" si="12"/>
        <v>2</v>
      </c>
      <c r="N150" s="16" t="str">
        <f t="shared" si="13"/>
        <v>Moderate</v>
      </c>
      <c r="O150" s="21">
        <f t="shared" si="14"/>
        <v>3</v>
      </c>
      <c r="P150" s="21">
        <f t="shared" si="15"/>
        <v>6</v>
      </c>
      <c r="Q150" s="16" t="str">
        <f t="shared" si="16"/>
        <v>Development Needed</v>
      </c>
      <c r="R150" s="16" t="s">
        <v>228</v>
      </c>
      <c r="S150" s="23">
        <v>45982.365867870372</v>
      </c>
      <c r="T150" s="25">
        <f t="shared" ca="1" si="17"/>
        <v>219.63413212962769</v>
      </c>
      <c r="U150" s="16" t="s">
        <v>223</v>
      </c>
      <c r="V150" s="16"/>
      <c r="W150" s="6" t="str">
        <f ca="1">IF(R150="Missing","Missing evidence",IF(T150&gt;365,"Stale assessment",IF(COUNTIFS($B$2:$B$264,B150,$G$2:$G$264,G150)&gt;1,"Duplicate competency record",IF(INDEX(employees!$H$2:$H$37,MATCH(B150,employees!$A$2:$A$37,0))="Inactive","Inactive account","OK"))))</f>
        <v>OK</v>
      </c>
    </row>
    <row r="151" spans="1:23" ht="15" customHeight="1">
      <c r="A151" s="5" t="s">
        <v>380</v>
      </c>
      <c r="B151" s="16" t="s">
        <v>108</v>
      </c>
      <c r="C151" s="16" t="str">
        <f>IFERROR(INDEX(employees!$B$2:$B$37,MATCH(B151,employees!$A$2:$A$37,0)),"")</f>
        <v>Jordan Patel</v>
      </c>
      <c r="D151" s="16" t="str">
        <f>IFERROR(INDEX(employees!$C$2:$C$37,MATCH(B151,employees!$A$2:$A$37,0)),"")</f>
        <v>Asset Management</v>
      </c>
      <c r="E151" s="16" t="str">
        <f>IFERROR(INDEX(employees!$D$2:$D$37,MATCH(B151,employees!$A$2:$A$37,0)),"")</f>
        <v>Data &amp; Reporting</v>
      </c>
      <c r="F151" s="16" t="str">
        <f>IFERROR(INDEX(employees!$E$2:$E$37,MATCH(B151,employees!$A$2:$A$37,0)),"")</f>
        <v>Graduate</v>
      </c>
      <c r="G151" s="16" t="s">
        <v>163</v>
      </c>
      <c r="H151" s="16" t="str">
        <f>IFERROR(INDEX(competency_model!$C$2:$C$25,MATCH(G151,competency_model!$A$2:$A$25,0)),"")</f>
        <v>Engineering Documentation</v>
      </c>
      <c r="I151" s="16" t="str">
        <f>IFERROR(INDEX(competency_model!$D$2:$D$25,MATCH(G151,competency_model!$A$2:$A$25,0)),"")</f>
        <v>Technical Documentation</v>
      </c>
      <c r="J151" s="16">
        <f>IFERROR(INDEX(competency_model!$F$2:$F$25,MATCH(G151,competency_model!$A$2:$A$25,0)),"")</f>
        <v>4</v>
      </c>
      <c r="K151" s="16" t="str">
        <f>IFERROR(INDEX(competency_model!$G$2:$G$25,MATCH(G151,competency_model!$A$2:$A$25,0)),"")</f>
        <v>High</v>
      </c>
      <c r="L151" s="21">
        <v>2</v>
      </c>
      <c r="M151" s="21">
        <f t="shared" si="12"/>
        <v>2</v>
      </c>
      <c r="N151" s="16" t="str">
        <f t="shared" si="13"/>
        <v>Moderate</v>
      </c>
      <c r="O151" s="21">
        <f t="shared" si="14"/>
        <v>3</v>
      </c>
      <c r="P151" s="21">
        <f t="shared" si="15"/>
        <v>6</v>
      </c>
      <c r="Q151" s="16" t="str">
        <f t="shared" si="16"/>
        <v>Development Needed</v>
      </c>
      <c r="R151" s="16" t="s">
        <v>228</v>
      </c>
      <c r="S151" s="23">
        <v>46178.571154363424</v>
      </c>
      <c r="T151" s="25">
        <f t="shared" ca="1" si="17"/>
        <v>23.428845636575716</v>
      </c>
      <c r="U151" s="16" t="s">
        <v>223</v>
      </c>
      <c r="V151" s="16" t="s">
        <v>239</v>
      </c>
      <c r="W151" s="6" t="str">
        <f ca="1">IF(R151="Missing","Missing evidence",IF(T151&gt;365,"Stale assessment",IF(COUNTIFS($B$2:$B$264,B151,$G$2:$G$264,G151)&gt;1,"Duplicate competency record",IF(INDEX(employees!$H$2:$H$37,MATCH(B151,employees!$A$2:$A$37,0))="Inactive","Inactive account","OK"))))</f>
        <v>OK</v>
      </c>
    </row>
    <row r="152" spans="1:23" ht="15" customHeight="1">
      <c r="A152" s="5" t="s">
        <v>381</v>
      </c>
      <c r="B152" s="16" t="s">
        <v>110</v>
      </c>
      <c r="C152" s="16" t="str">
        <f>IFERROR(INDEX(employees!$B$2:$B$37,MATCH(B152,employees!$A$2:$A$37,0)),"")</f>
        <v>Morgan Morgan</v>
      </c>
      <c r="D152" s="16" t="str">
        <f>IFERROR(INDEX(employees!$C$2:$C$37,MATCH(B152,employees!$A$2:$A$37,0)),"")</f>
        <v>HVDC</v>
      </c>
      <c r="E152" s="16" t="str">
        <f>IFERROR(INDEX(employees!$D$2:$D$37,MATCH(B152,employees!$A$2:$A$37,0)),"")</f>
        <v>Testing &amp; Validation</v>
      </c>
      <c r="F152" s="16" t="str">
        <f>IFERROR(INDEX(employees!$E$2:$E$37,MATCH(B152,employees!$A$2:$A$37,0)),"")</f>
        <v>Senior Engineer</v>
      </c>
      <c r="G152" s="16" t="s">
        <v>197</v>
      </c>
      <c r="H152" s="16" t="str">
        <f>IFERROR(INDEX(competency_model!$C$2:$C$25,MATCH(G152,competency_model!$A$2:$A$25,0)),"")</f>
        <v>User Support</v>
      </c>
      <c r="I152" s="16" t="str">
        <f>IFERROR(INDEX(competency_model!$D$2:$D$25,MATCH(G152,competency_model!$A$2:$A$25,0)),"")</f>
        <v>Competency Tool User Support</v>
      </c>
      <c r="J152" s="16">
        <f>IFERROR(INDEX(competency_model!$F$2:$F$25,MATCH(G152,competency_model!$A$2:$A$25,0)),"")</f>
        <v>3</v>
      </c>
      <c r="K152" s="16" t="str">
        <f>IFERROR(INDEX(competency_model!$G$2:$G$25,MATCH(G152,competency_model!$A$2:$A$25,0)),"")</f>
        <v>Medium</v>
      </c>
      <c r="L152" s="21">
        <v>3</v>
      </c>
      <c r="M152" s="21">
        <f t="shared" si="12"/>
        <v>0</v>
      </c>
      <c r="N152" s="16" t="str">
        <f t="shared" si="13"/>
        <v>No Gap</v>
      </c>
      <c r="O152" s="21">
        <f t="shared" si="14"/>
        <v>2</v>
      </c>
      <c r="P152" s="21">
        <f t="shared" si="15"/>
        <v>0</v>
      </c>
      <c r="Q152" s="16" t="str">
        <f t="shared" si="16"/>
        <v>Ready</v>
      </c>
      <c r="R152" s="16" t="s">
        <v>225</v>
      </c>
      <c r="S152" s="23">
        <v>46104.423322986113</v>
      </c>
      <c r="T152" s="25">
        <f t="shared" ca="1" si="17"/>
        <v>97.576677013887092</v>
      </c>
      <c r="U152" s="16" t="s">
        <v>229</v>
      </c>
      <c r="V152" s="16"/>
      <c r="W152" s="6" t="str">
        <f ca="1">IF(R152="Missing","Missing evidence",IF(T152&gt;365,"Stale assessment",IF(COUNTIFS($B$2:$B$264,B152,$G$2:$G$264,G152)&gt;1,"Duplicate competency record",IF(INDEX(employees!$H$2:$H$37,MATCH(B152,employees!$A$2:$A$37,0))="Inactive","Inactive account","OK"))))</f>
        <v>Inactive account</v>
      </c>
    </row>
    <row r="153" spans="1:23" ht="15" customHeight="1">
      <c r="A153" s="5" t="s">
        <v>382</v>
      </c>
      <c r="B153" s="16" t="s">
        <v>110</v>
      </c>
      <c r="C153" s="16" t="str">
        <f>IFERROR(INDEX(employees!$B$2:$B$37,MATCH(B153,employees!$A$2:$A$37,0)),"")</f>
        <v>Morgan Morgan</v>
      </c>
      <c r="D153" s="16" t="str">
        <f>IFERROR(INDEX(employees!$C$2:$C$37,MATCH(B153,employees!$A$2:$A$37,0)),"")</f>
        <v>HVDC</v>
      </c>
      <c r="E153" s="16" t="str">
        <f>IFERROR(INDEX(employees!$D$2:$D$37,MATCH(B153,employees!$A$2:$A$37,0)),"")</f>
        <v>Testing &amp; Validation</v>
      </c>
      <c r="F153" s="16" t="str">
        <f>IFERROR(INDEX(employees!$E$2:$E$37,MATCH(B153,employees!$A$2:$A$37,0)),"")</f>
        <v>Senior Engineer</v>
      </c>
      <c r="G153" s="16" t="s">
        <v>154</v>
      </c>
      <c r="H153" s="16" t="str">
        <f>IFERROR(INDEX(competency_model!$C$2:$C$25,MATCH(G153,competency_model!$A$2:$A$25,0)),"")</f>
        <v>Excel Reporting</v>
      </c>
      <c r="I153" s="16" t="str">
        <f>IFERROR(INDEX(competency_model!$D$2:$D$25,MATCH(G153,competency_model!$A$2:$A$25,0)),"")</f>
        <v>PivotTables and Power Query</v>
      </c>
      <c r="J153" s="16">
        <f>IFERROR(INDEX(competency_model!$F$2:$F$25,MATCH(G153,competency_model!$A$2:$A$25,0)),"")</f>
        <v>4</v>
      </c>
      <c r="K153" s="16" t="str">
        <f>IFERROR(INDEX(competency_model!$G$2:$G$25,MATCH(G153,competency_model!$A$2:$A$25,0)),"")</f>
        <v>High</v>
      </c>
      <c r="L153" s="21">
        <v>3</v>
      </c>
      <c r="M153" s="21">
        <f t="shared" si="12"/>
        <v>1</v>
      </c>
      <c r="N153" s="16" t="str">
        <f t="shared" si="13"/>
        <v>Minor</v>
      </c>
      <c r="O153" s="21">
        <f t="shared" si="14"/>
        <v>3</v>
      </c>
      <c r="P153" s="21">
        <f t="shared" si="15"/>
        <v>3</v>
      </c>
      <c r="Q153" s="16" t="str">
        <f t="shared" si="16"/>
        <v>Development Needed</v>
      </c>
      <c r="R153" s="16" t="s">
        <v>225</v>
      </c>
      <c r="S153" s="23">
        <v>45991.03809934028</v>
      </c>
      <c r="T153" s="25">
        <f t="shared" ca="1" si="17"/>
        <v>210.96190065972041</v>
      </c>
      <c r="U153" s="16" t="s">
        <v>223</v>
      </c>
      <c r="V153" s="16"/>
      <c r="W153" s="6" t="str">
        <f ca="1">IF(R153="Missing","Missing evidence",IF(T153&gt;365,"Stale assessment",IF(COUNTIFS($B$2:$B$264,B153,$G$2:$G$264,G153)&gt;1,"Duplicate competency record",IF(INDEX(employees!$H$2:$H$37,MATCH(B153,employees!$A$2:$A$37,0))="Inactive","Inactive account","OK"))))</f>
        <v>Inactive account</v>
      </c>
    </row>
    <row r="154" spans="1:23" ht="15" customHeight="1">
      <c r="A154" s="5" t="s">
        <v>383</v>
      </c>
      <c r="B154" s="16" t="s">
        <v>110</v>
      </c>
      <c r="C154" s="16" t="str">
        <f>IFERROR(INDEX(employees!$B$2:$B$37,MATCH(B154,employees!$A$2:$A$37,0)),"")</f>
        <v>Morgan Morgan</v>
      </c>
      <c r="D154" s="16" t="str">
        <f>IFERROR(INDEX(employees!$C$2:$C$37,MATCH(B154,employees!$A$2:$A$37,0)),"")</f>
        <v>HVDC</v>
      </c>
      <c r="E154" s="16" t="str">
        <f>IFERROR(INDEX(employees!$D$2:$D$37,MATCH(B154,employees!$A$2:$A$37,0)),"")</f>
        <v>Testing &amp; Validation</v>
      </c>
      <c r="F154" s="16" t="str">
        <f>IFERROR(INDEX(employees!$E$2:$E$37,MATCH(B154,employees!$A$2:$A$37,0)),"")</f>
        <v>Senior Engineer</v>
      </c>
      <c r="G154" s="16" t="s">
        <v>160</v>
      </c>
      <c r="H154" s="16" t="str">
        <f>IFERROR(INDEX(competency_model!$C$2:$C$25,MATCH(G154,competency_model!$A$2:$A$25,0)),"")</f>
        <v>PowerPoint Presentation</v>
      </c>
      <c r="I154" s="16" t="str">
        <f>IFERROR(INDEX(competency_model!$D$2:$D$25,MATCH(G154,competency_model!$A$2:$A$25,0)),"")</f>
        <v>Leadership Storytelling</v>
      </c>
      <c r="J154" s="16">
        <f>IFERROR(INDEX(competency_model!$F$2:$F$25,MATCH(G154,competency_model!$A$2:$A$25,0)),"")</f>
        <v>3</v>
      </c>
      <c r="K154" s="16" t="str">
        <f>IFERROR(INDEX(competency_model!$G$2:$G$25,MATCH(G154,competency_model!$A$2:$A$25,0)),"")</f>
        <v>Medium</v>
      </c>
      <c r="L154" s="21">
        <v>3</v>
      </c>
      <c r="M154" s="21">
        <f t="shared" si="12"/>
        <v>0</v>
      </c>
      <c r="N154" s="16" t="str">
        <f t="shared" si="13"/>
        <v>No Gap</v>
      </c>
      <c r="O154" s="21">
        <f t="shared" si="14"/>
        <v>2</v>
      </c>
      <c r="P154" s="21">
        <f t="shared" si="15"/>
        <v>0</v>
      </c>
      <c r="Q154" s="16" t="str">
        <f t="shared" si="16"/>
        <v>Ready</v>
      </c>
      <c r="R154" s="16" t="s">
        <v>225</v>
      </c>
      <c r="S154" s="23">
        <v>46103.816577048608</v>
      </c>
      <c r="T154" s="25">
        <f t="shared" ca="1" si="17"/>
        <v>98.183422951391549</v>
      </c>
      <c r="U154" s="16" t="s">
        <v>229</v>
      </c>
      <c r="V154" s="16"/>
      <c r="W154" s="6" t="str">
        <f ca="1">IF(R154="Missing","Missing evidence",IF(T154&gt;365,"Stale assessment",IF(COUNTIFS($B$2:$B$264,B154,$G$2:$G$264,G154)&gt;1,"Duplicate competency record",IF(INDEX(employees!$H$2:$H$37,MATCH(B154,employees!$A$2:$A$37,0))="Inactive","Inactive account","OK"))))</f>
        <v>Inactive account</v>
      </c>
    </row>
    <row r="155" spans="1:23" ht="15" customHeight="1">
      <c r="A155" s="5" t="s">
        <v>384</v>
      </c>
      <c r="B155" s="16" t="s">
        <v>110</v>
      </c>
      <c r="C155" s="16" t="str">
        <f>IFERROR(INDEX(employees!$B$2:$B$37,MATCH(B155,employees!$A$2:$A$37,0)),"")</f>
        <v>Morgan Morgan</v>
      </c>
      <c r="D155" s="16" t="str">
        <f>IFERROR(INDEX(employees!$C$2:$C$37,MATCH(B155,employees!$A$2:$A$37,0)),"")</f>
        <v>HVDC</v>
      </c>
      <c r="E155" s="16" t="str">
        <f>IFERROR(INDEX(employees!$D$2:$D$37,MATCH(B155,employees!$A$2:$A$37,0)),"")</f>
        <v>Testing &amp; Validation</v>
      </c>
      <c r="F155" s="16" t="str">
        <f>IFERROR(INDEX(employees!$E$2:$E$37,MATCH(B155,employees!$A$2:$A$37,0)),"")</f>
        <v>Senior Engineer</v>
      </c>
      <c r="G155" s="16" t="s">
        <v>173</v>
      </c>
      <c r="H155" s="16" t="str">
        <f>IFERROR(INDEX(competency_model!$C$2:$C$25,MATCH(G155,competency_model!$A$2:$A$25,0)),"")</f>
        <v>Testing &amp; Validation</v>
      </c>
      <c r="I155" s="16" t="str">
        <f>IFERROR(INDEX(competency_model!$D$2:$D$25,MATCH(G155,competency_model!$A$2:$A$25,0)),"")</f>
        <v>Defect Investigation</v>
      </c>
      <c r="J155" s="16">
        <f>IFERROR(INDEX(competency_model!$F$2:$F$25,MATCH(G155,competency_model!$A$2:$A$25,0)),"")</f>
        <v>3</v>
      </c>
      <c r="K155" s="16" t="str">
        <f>IFERROR(INDEX(competency_model!$G$2:$G$25,MATCH(G155,competency_model!$A$2:$A$25,0)),"")</f>
        <v>Medium</v>
      </c>
      <c r="L155" s="21">
        <v>3</v>
      </c>
      <c r="M155" s="21">
        <f t="shared" si="12"/>
        <v>0</v>
      </c>
      <c r="N155" s="16" t="str">
        <f t="shared" si="13"/>
        <v>No Gap</v>
      </c>
      <c r="O155" s="21">
        <f t="shared" si="14"/>
        <v>2</v>
      </c>
      <c r="P155" s="21">
        <f t="shared" si="15"/>
        <v>0</v>
      </c>
      <c r="Q155" s="16" t="str">
        <f t="shared" si="16"/>
        <v>Ready</v>
      </c>
      <c r="R155" s="16" t="s">
        <v>228</v>
      </c>
      <c r="S155" s="23">
        <v>45692.503671435188</v>
      </c>
      <c r="T155" s="25">
        <f t="shared" ca="1" si="17"/>
        <v>509.49632856481185</v>
      </c>
      <c r="U155" s="16" t="s">
        <v>223</v>
      </c>
      <c r="V155" s="16"/>
      <c r="W155" s="6" t="str">
        <f ca="1">IF(R155="Missing","Missing evidence",IF(T155&gt;365,"Stale assessment",IF(COUNTIFS($B$2:$B$264,B155,$G$2:$G$264,G155)&gt;1,"Duplicate competency record",IF(INDEX(employees!$H$2:$H$37,MATCH(B155,employees!$A$2:$A$37,0))="Inactive","Inactive account","OK"))))</f>
        <v>Stale assessment</v>
      </c>
    </row>
    <row r="156" spans="1:23" ht="15" customHeight="1">
      <c r="A156" s="5" t="s">
        <v>385</v>
      </c>
      <c r="B156" s="16" t="s">
        <v>110</v>
      </c>
      <c r="C156" s="16" t="str">
        <f>IFERROR(INDEX(employees!$B$2:$B$37,MATCH(B156,employees!$A$2:$A$37,0)),"")</f>
        <v>Morgan Morgan</v>
      </c>
      <c r="D156" s="16" t="str">
        <f>IFERROR(INDEX(employees!$C$2:$C$37,MATCH(B156,employees!$A$2:$A$37,0)),"")</f>
        <v>HVDC</v>
      </c>
      <c r="E156" s="16" t="str">
        <f>IFERROR(INDEX(employees!$D$2:$D$37,MATCH(B156,employees!$A$2:$A$37,0)),"")</f>
        <v>Testing &amp; Validation</v>
      </c>
      <c r="F156" s="16" t="str">
        <f>IFERROR(INDEX(employees!$E$2:$E$37,MATCH(B156,employees!$A$2:$A$37,0)),"")</f>
        <v>Senior Engineer</v>
      </c>
      <c r="G156" s="16" t="s">
        <v>192</v>
      </c>
      <c r="H156" s="16" t="str">
        <f>IFERROR(INDEX(competency_model!$C$2:$C$25,MATCH(G156,competency_model!$A$2:$A$25,0)),"")</f>
        <v>Data Quality</v>
      </c>
      <c r="I156" s="16" t="str">
        <f>IFERROR(INDEX(competency_model!$D$2:$D$25,MATCH(G156,competency_model!$A$2:$A$25,0)),"")</f>
        <v>Assessment Evidence Validation</v>
      </c>
      <c r="J156" s="16">
        <f>IFERROR(INDEX(competency_model!$F$2:$F$25,MATCH(G156,competency_model!$A$2:$A$25,0)),"")</f>
        <v>4</v>
      </c>
      <c r="K156" s="16" t="str">
        <f>IFERROR(INDEX(competency_model!$G$2:$G$25,MATCH(G156,competency_model!$A$2:$A$25,0)),"")</f>
        <v>High</v>
      </c>
      <c r="L156" s="21">
        <v>4</v>
      </c>
      <c r="M156" s="21">
        <f t="shared" si="12"/>
        <v>0</v>
      </c>
      <c r="N156" s="16" t="str">
        <f t="shared" si="13"/>
        <v>No Gap</v>
      </c>
      <c r="O156" s="21">
        <f t="shared" si="14"/>
        <v>3</v>
      </c>
      <c r="P156" s="21">
        <f t="shared" si="15"/>
        <v>0</v>
      </c>
      <c r="Q156" s="16" t="str">
        <f t="shared" si="16"/>
        <v>Ready</v>
      </c>
      <c r="R156" s="16" t="s">
        <v>228</v>
      </c>
      <c r="S156" s="23">
        <v>46187.186307245371</v>
      </c>
      <c r="T156" s="25">
        <f t="shared" ca="1" si="17"/>
        <v>14.813692754629301</v>
      </c>
      <c r="U156" s="16" t="s">
        <v>223</v>
      </c>
      <c r="V156" s="16"/>
      <c r="W156" s="6" t="str">
        <f ca="1">IF(R156="Missing","Missing evidence",IF(T156&gt;365,"Stale assessment",IF(COUNTIFS($B$2:$B$264,B156,$G$2:$G$264,G156)&gt;1,"Duplicate competency record",IF(INDEX(employees!$H$2:$H$37,MATCH(B156,employees!$A$2:$A$37,0))="Inactive","Inactive account","OK"))))</f>
        <v>Inactive account</v>
      </c>
    </row>
    <row r="157" spans="1:23" ht="15" customHeight="1">
      <c r="A157" s="5" t="s">
        <v>386</v>
      </c>
      <c r="B157" s="16" t="s">
        <v>110</v>
      </c>
      <c r="C157" s="16" t="str">
        <f>IFERROR(INDEX(employees!$B$2:$B$37,MATCH(B157,employees!$A$2:$A$37,0)),"")</f>
        <v>Morgan Morgan</v>
      </c>
      <c r="D157" s="16" t="str">
        <f>IFERROR(INDEX(employees!$C$2:$C$37,MATCH(B157,employees!$A$2:$A$37,0)),"")</f>
        <v>HVDC</v>
      </c>
      <c r="E157" s="16" t="str">
        <f>IFERROR(INDEX(employees!$D$2:$D$37,MATCH(B157,employees!$A$2:$A$37,0)),"")</f>
        <v>Testing &amp; Validation</v>
      </c>
      <c r="F157" s="16" t="str">
        <f>IFERROR(INDEX(employees!$E$2:$E$37,MATCH(B157,employees!$A$2:$A$37,0)),"")</f>
        <v>Senior Engineer</v>
      </c>
      <c r="G157" s="16" t="s">
        <v>178</v>
      </c>
      <c r="H157" s="16" t="str">
        <f>IFERROR(INDEX(competency_model!$C$2:$C$25,MATCH(G157,competency_model!$A$2:$A$25,0)),"")</f>
        <v>Stakeholder Communication</v>
      </c>
      <c r="I157" s="16" t="str">
        <f>IFERROR(INDEX(competency_model!$D$2:$D$25,MATCH(G157,competency_model!$A$2:$A$25,0)),"")</f>
        <v>Non-Technical Explanation</v>
      </c>
      <c r="J157" s="16">
        <f>IFERROR(INDEX(competency_model!$F$2:$F$25,MATCH(G157,competency_model!$A$2:$A$25,0)),"")</f>
        <v>3</v>
      </c>
      <c r="K157" s="16" t="str">
        <f>IFERROR(INDEX(competency_model!$G$2:$G$25,MATCH(G157,competency_model!$A$2:$A$25,0)),"")</f>
        <v>Medium</v>
      </c>
      <c r="L157" s="21">
        <v>2</v>
      </c>
      <c r="M157" s="21">
        <f t="shared" si="12"/>
        <v>1</v>
      </c>
      <c r="N157" s="16" t="str">
        <f t="shared" si="13"/>
        <v>Minor</v>
      </c>
      <c r="O157" s="21">
        <f t="shared" si="14"/>
        <v>2</v>
      </c>
      <c r="P157" s="21">
        <f t="shared" si="15"/>
        <v>2</v>
      </c>
      <c r="Q157" s="16" t="str">
        <f t="shared" si="16"/>
        <v>Development Needed</v>
      </c>
      <c r="R157" s="16" t="s">
        <v>225</v>
      </c>
      <c r="S157" s="23">
        <v>46049.243012638886</v>
      </c>
      <c r="T157" s="25">
        <f t="shared" ca="1" si="17"/>
        <v>152.75698736111372</v>
      </c>
      <c r="U157" s="16" t="s">
        <v>223</v>
      </c>
      <c r="V157" s="16" t="s">
        <v>231</v>
      </c>
      <c r="W157" s="6" t="str">
        <f ca="1">IF(R157="Missing","Missing evidence",IF(T157&gt;365,"Stale assessment",IF(COUNTIFS($B$2:$B$264,B157,$G$2:$G$264,G157)&gt;1,"Duplicate competency record",IF(INDEX(employees!$H$2:$H$37,MATCH(B157,employees!$A$2:$A$37,0))="Inactive","Inactive account","OK"))))</f>
        <v>Inactive account</v>
      </c>
    </row>
    <row r="158" spans="1:23" ht="15" customHeight="1">
      <c r="A158" s="5" t="s">
        <v>387</v>
      </c>
      <c r="B158" s="16" t="s">
        <v>110</v>
      </c>
      <c r="C158" s="16" t="str">
        <f>IFERROR(INDEX(employees!$B$2:$B$37,MATCH(B158,employees!$A$2:$A$37,0)),"")</f>
        <v>Morgan Morgan</v>
      </c>
      <c r="D158" s="16" t="str">
        <f>IFERROR(INDEX(employees!$C$2:$C$37,MATCH(B158,employees!$A$2:$A$37,0)),"")</f>
        <v>HVDC</v>
      </c>
      <c r="E158" s="16" t="str">
        <f>IFERROR(INDEX(employees!$D$2:$D$37,MATCH(B158,employees!$A$2:$A$37,0)),"")</f>
        <v>Testing &amp; Validation</v>
      </c>
      <c r="F158" s="16" t="str">
        <f>IFERROR(INDEX(employees!$E$2:$E$37,MATCH(B158,employees!$A$2:$A$37,0)),"")</f>
        <v>Senior Engineer</v>
      </c>
      <c r="G158" s="16" t="s">
        <v>163</v>
      </c>
      <c r="H158" s="16" t="str">
        <f>IFERROR(INDEX(competency_model!$C$2:$C$25,MATCH(G158,competency_model!$A$2:$A$25,0)),"")</f>
        <v>Engineering Documentation</v>
      </c>
      <c r="I158" s="16" t="str">
        <f>IFERROR(INDEX(competency_model!$D$2:$D$25,MATCH(G158,competency_model!$A$2:$A$25,0)),"")</f>
        <v>Technical Documentation</v>
      </c>
      <c r="J158" s="16">
        <f>IFERROR(INDEX(competency_model!$F$2:$F$25,MATCH(G158,competency_model!$A$2:$A$25,0)),"")</f>
        <v>4</v>
      </c>
      <c r="K158" s="16" t="str">
        <f>IFERROR(INDEX(competency_model!$G$2:$G$25,MATCH(G158,competency_model!$A$2:$A$25,0)),"")</f>
        <v>High</v>
      </c>
      <c r="L158" s="21">
        <v>3</v>
      </c>
      <c r="M158" s="21">
        <f t="shared" si="12"/>
        <v>1</v>
      </c>
      <c r="N158" s="16" t="str">
        <f t="shared" si="13"/>
        <v>Minor</v>
      </c>
      <c r="O158" s="21">
        <f t="shared" si="14"/>
        <v>3</v>
      </c>
      <c r="P158" s="21">
        <f t="shared" si="15"/>
        <v>3</v>
      </c>
      <c r="Q158" s="16" t="str">
        <f t="shared" si="16"/>
        <v>Development Needed</v>
      </c>
      <c r="R158" s="16" t="s">
        <v>222</v>
      </c>
      <c r="S158" s="23">
        <v>46013.121132858796</v>
      </c>
      <c r="T158" s="25">
        <f t="shared" ca="1" si="17"/>
        <v>188.87886714120395</v>
      </c>
      <c r="U158" s="16" t="s">
        <v>223</v>
      </c>
      <c r="V158" s="16" t="s">
        <v>226</v>
      </c>
      <c r="W158" s="6" t="str">
        <f>IF(R158="Missing","Missing evidence",IF(T158&gt;365,"Stale assessment",IF(COUNTIFS($B$2:$B$264,B158,$G$2:$G$264,G158)&gt;1,"Duplicate competency record",IF(INDEX(employees!$H$2:$H$37,MATCH(B158,employees!$A$2:$A$37,0))="Inactive","Inactive account","OK"))))</f>
        <v>Missing evidence</v>
      </c>
    </row>
    <row r="159" spans="1:23" ht="15" customHeight="1">
      <c r="A159" s="5" t="s">
        <v>388</v>
      </c>
      <c r="B159" s="16" t="s">
        <v>110</v>
      </c>
      <c r="C159" s="16" t="str">
        <f>IFERROR(INDEX(employees!$B$2:$B$37,MATCH(B159,employees!$A$2:$A$37,0)),"")</f>
        <v>Morgan Morgan</v>
      </c>
      <c r="D159" s="16" t="str">
        <f>IFERROR(INDEX(employees!$C$2:$C$37,MATCH(B159,employees!$A$2:$A$37,0)),"")</f>
        <v>HVDC</v>
      </c>
      <c r="E159" s="16" t="str">
        <f>IFERROR(INDEX(employees!$D$2:$D$37,MATCH(B159,employees!$A$2:$A$37,0)),"")</f>
        <v>Testing &amp; Validation</v>
      </c>
      <c r="F159" s="16" t="str">
        <f>IFERROR(INDEX(employees!$E$2:$E$37,MATCH(B159,employees!$A$2:$A$37,0)),"")</f>
        <v>Senior Engineer</v>
      </c>
      <c r="G159" s="16" t="s">
        <v>175</v>
      </c>
      <c r="H159" s="16" t="str">
        <f>IFERROR(INDEX(competency_model!$C$2:$C$25,MATCH(G159,competency_model!$A$2:$A$25,0)),"")</f>
        <v>Safety / Compliance</v>
      </c>
      <c r="I159" s="16" t="str">
        <f>IFERROR(INDEX(competency_model!$D$2:$D$25,MATCH(G159,competency_model!$A$2:$A$25,0)),"")</f>
        <v>Engineering Safety Awareness</v>
      </c>
      <c r="J159" s="16">
        <f>IFERROR(INDEX(competency_model!$F$2:$F$25,MATCH(G159,competency_model!$A$2:$A$25,0)),"")</f>
        <v>4</v>
      </c>
      <c r="K159" s="16" t="str">
        <f>IFERROR(INDEX(competency_model!$G$2:$G$25,MATCH(G159,competency_model!$A$2:$A$25,0)),"")</f>
        <v>High</v>
      </c>
      <c r="L159" s="21">
        <v>2</v>
      </c>
      <c r="M159" s="21">
        <f t="shared" si="12"/>
        <v>2</v>
      </c>
      <c r="N159" s="16" t="str">
        <f t="shared" si="13"/>
        <v>Moderate</v>
      </c>
      <c r="O159" s="21">
        <f t="shared" si="14"/>
        <v>3</v>
      </c>
      <c r="P159" s="21">
        <f t="shared" si="15"/>
        <v>6</v>
      </c>
      <c r="Q159" s="16" t="str">
        <f t="shared" si="16"/>
        <v>Development Needed</v>
      </c>
      <c r="R159" s="16" t="s">
        <v>228</v>
      </c>
      <c r="S159" s="23">
        <v>46102.128433240738</v>
      </c>
      <c r="T159" s="25">
        <f t="shared" ca="1" si="17"/>
        <v>99.87156675926235</v>
      </c>
      <c r="U159" s="16" t="s">
        <v>229</v>
      </c>
      <c r="V159" s="16" t="s">
        <v>239</v>
      </c>
      <c r="W159" s="6" t="str">
        <f ca="1">IF(R159="Missing","Missing evidence",IF(T159&gt;365,"Stale assessment",IF(COUNTIFS($B$2:$B$264,B159,$G$2:$G$264,G159)&gt;1,"Duplicate competency record",IF(INDEX(employees!$H$2:$H$37,MATCH(B159,employees!$A$2:$A$37,0))="Inactive","Inactive account","OK"))))</f>
        <v>Inactive account</v>
      </c>
    </row>
    <row r="160" spans="1:23" ht="15" customHeight="1">
      <c r="A160" s="5" t="s">
        <v>389</v>
      </c>
      <c r="B160" s="16" t="s">
        <v>112</v>
      </c>
      <c r="C160" s="16" t="str">
        <f>IFERROR(INDEX(employees!$B$2:$B$37,MATCH(B160,employees!$A$2:$A$37,0)),"")</f>
        <v>Robin Taylor</v>
      </c>
      <c r="D160" s="16" t="str">
        <f>IFERROR(INDEX(employees!$C$2:$C$37,MATCH(B160,employees!$A$2:$A$37,0)),"")</f>
        <v>HVDC</v>
      </c>
      <c r="E160" s="16" t="str">
        <f>IFERROR(INDEX(employees!$D$2:$D$37,MATCH(B160,employees!$A$2:$A$37,0)),"")</f>
        <v>Engineering Management</v>
      </c>
      <c r="F160" s="16" t="str">
        <f>IFERROR(INDEX(employees!$E$2:$E$37,MATCH(B160,employees!$A$2:$A$37,0)),"")</f>
        <v>Senior Engineer</v>
      </c>
      <c r="G160" s="16" t="s">
        <v>194</v>
      </c>
      <c r="H160" s="16" t="str">
        <f>IFERROR(INDEX(competency_model!$C$2:$C$25,MATCH(G160,competency_model!$A$2:$A$25,0)),"")</f>
        <v>Competency Systems</v>
      </c>
      <c r="I160" s="16" t="str">
        <f>IFERROR(INDEX(competency_model!$D$2:$D$25,MATCH(G160,competency_model!$A$2:$A$25,0)),"")</f>
        <v>Competency Model Maintenance</v>
      </c>
      <c r="J160" s="16">
        <f>IFERROR(INDEX(competency_model!$F$2:$F$25,MATCH(G160,competency_model!$A$2:$A$25,0)),"")</f>
        <v>3</v>
      </c>
      <c r="K160" s="16" t="str">
        <f>IFERROR(INDEX(competency_model!$G$2:$G$25,MATCH(G160,competency_model!$A$2:$A$25,0)),"")</f>
        <v>High</v>
      </c>
      <c r="L160" s="21">
        <v>3</v>
      </c>
      <c r="M160" s="21">
        <f t="shared" si="12"/>
        <v>0</v>
      </c>
      <c r="N160" s="16" t="str">
        <f t="shared" si="13"/>
        <v>No Gap</v>
      </c>
      <c r="O160" s="21">
        <f t="shared" si="14"/>
        <v>3</v>
      </c>
      <c r="P160" s="21">
        <f t="shared" si="15"/>
        <v>0</v>
      </c>
      <c r="Q160" s="16" t="str">
        <f t="shared" si="16"/>
        <v>Ready</v>
      </c>
      <c r="R160" s="16" t="s">
        <v>228</v>
      </c>
      <c r="S160" s="23">
        <v>46133.523474988426</v>
      </c>
      <c r="T160" s="25">
        <f t="shared" ca="1" si="17"/>
        <v>68.476525011574267</v>
      </c>
      <c r="U160" s="16" t="s">
        <v>242</v>
      </c>
      <c r="V160" s="16"/>
      <c r="W160" s="6" t="str">
        <f ca="1">IF(R160="Missing","Missing evidence",IF(T160&gt;365,"Stale assessment",IF(COUNTIFS($B$2:$B$264,B160,$G$2:$G$264,G160)&gt;1,"Duplicate competency record",IF(INDEX(employees!$H$2:$H$37,MATCH(B160,employees!$A$2:$A$37,0))="Inactive","Inactive account","OK"))))</f>
        <v>OK</v>
      </c>
    </row>
    <row r="161" spans="1:23" ht="15" customHeight="1">
      <c r="A161" s="5" t="s">
        <v>390</v>
      </c>
      <c r="B161" s="16" t="s">
        <v>112</v>
      </c>
      <c r="C161" s="16" t="str">
        <f>IFERROR(INDEX(employees!$B$2:$B$37,MATCH(B161,employees!$A$2:$A$37,0)),"")</f>
        <v>Robin Taylor</v>
      </c>
      <c r="D161" s="16" t="str">
        <f>IFERROR(INDEX(employees!$C$2:$C$37,MATCH(B161,employees!$A$2:$A$37,0)),"")</f>
        <v>HVDC</v>
      </c>
      <c r="E161" s="16" t="str">
        <f>IFERROR(INDEX(employees!$D$2:$D$37,MATCH(B161,employees!$A$2:$A$37,0)),"")</f>
        <v>Engineering Management</v>
      </c>
      <c r="F161" s="16" t="str">
        <f>IFERROR(INDEX(employees!$E$2:$E$37,MATCH(B161,employees!$A$2:$A$37,0)),"")</f>
        <v>Senior Engineer</v>
      </c>
      <c r="G161" s="16" t="s">
        <v>163</v>
      </c>
      <c r="H161" s="16" t="str">
        <f>IFERROR(INDEX(competency_model!$C$2:$C$25,MATCH(G161,competency_model!$A$2:$A$25,0)),"")</f>
        <v>Engineering Documentation</v>
      </c>
      <c r="I161" s="16" t="str">
        <f>IFERROR(INDEX(competency_model!$D$2:$D$25,MATCH(G161,competency_model!$A$2:$A$25,0)),"")</f>
        <v>Technical Documentation</v>
      </c>
      <c r="J161" s="16">
        <f>IFERROR(INDEX(competency_model!$F$2:$F$25,MATCH(G161,competency_model!$A$2:$A$25,0)),"")</f>
        <v>4</v>
      </c>
      <c r="K161" s="16" t="str">
        <f>IFERROR(INDEX(competency_model!$G$2:$G$25,MATCH(G161,competency_model!$A$2:$A$25,0)),"")</f>
        <v>High</v>
      </c>
      <c r="L161" s="21">
        <v>1</v>
      </c>
      <c r="M161" s="21">
        <f t="shared" si="12"/>
        <v>3</v>
      </c>
      <c r="N161" s="16" t="str">
        <f t="shared" si="13"/>
        <v>Critical</v>
      </c>
      <c r="O161" s="21">
        <f t="shared" si="14"/>
        <v>3</v>
      </c>
      <c r="P161" s="21">
        <f t="shared" si="15"/>
        <v>9</v>
      </c>
      <c r="Q161" s="16" t="str">
        <f t="shared" si="16"/>
        <v>Development Needed</v>
      </c>
      <c r="R161" s="16" t="s">
        <v>228</v>
      </c>
      <c r="S161" s="23">
        <v>46075.781925787036</v>
      </c>
      <c r="T161" s="25">
        <f t="shared" ca="1" si="17"/>
        <v>126.21807421296398</v>
      </c>
      <c r="U161" s="16" t="s">
        <v>242</v>
      </c>
      <c r="V161" s="16" t="s">
        <v>239</v>
      </c>
      <c r="W161" s="6" t="str">
        <f ca="1">IF(R161="Missing","Missing evidence",IF(T161&gt;365,"Stale assessment",IF(COUNTIFS($B$2:$B$264,B161,$G$2:$G$264,G161)&gt;1,"Duplicate competency record",IF(INDEX(employees!$H$2:$H$37,MATCH(B161,employees!$A$2:$A$37,0))="Inactive","Inactive account","OK"))))</f>
        <v>OK</v>
      </c>
    </row>
    <row r="162" spans="1:23" ht="15" customHeight="1">
      <c r="A162" s="5" t="s">
        <v>391</v>
      </c>
      <c r="B162" s="16" t="s">
        <v>112</v>
      </c>
      <c r="C162" s="16" t="str">
        <f>IFERROR(INDEX(employees!$B$2:$B$37,MATCH(B162,employees!$A$2:$A$37,0)),"")</f>
        <v>Robin Taylor</v>
      </c>
      <c r="D162" s="16" t="str">
        <f>IFERROR(INDEX(employees!$C$2:$C$37,MATCH(B162,employees!$A$2:$A$37,0)),"")</f>
        <v>HVDC</v>
      </c>
      <c r="E162" s="16" t="str">
        <f>IFERROR(INDEX(employees!$D$2:$D$37,MATCH(B162,employees!$A$2:$A$37,0)),"")</f>
        <v>Engineering Management</v>
      </c>
      <c r="F162" s="16" t="str">
        <f>IFERROR(INDEX(employees!$E$2:$E$37,MATCH(B162,employees!$A$2:$A$37,0)),"")</f>
        <v>Senior Engineer</v>
      </c>
      <c r="G162" s="16" t="s">
        <v>204</v>
      </c>
      <c r="H162" s="16" t="str">
        <f>IFERROR(INDEX(competency_model!$C$2:$C$25,MATCH(G162,competency_model!$A$2:$A$25,0)),"")</f>
        <v>PowerPoint Presentation</v>
      </c>
      <c r="I162" s="16" t="str">
        <f>IFERROR(INDEX(competency_model!$D$2:$D$25,MATCH(G162,competency_model!$A$2:$A$25,0)),"")</f>
        <v>Executive Summary Slides</v>
      </c>
      <c r="J162" s="16">
        <f>IFERROR(INDEX(competency_model!$F$2:$F$25,MATCH(G162,competency_model!$A$2:$A$25,0)),"")</f>
        <v>3</v>
      </c>
      <c r="K162" s="16" t="str">
        <f>IFERROR(INDEX(competency_model!$G$2:$G$25,MATCH(G162,competency_model!$A$2:$A$25,0)),"")</f>
        <v>Medium</v>
      </c>
      <c r="L162" s="21">
        <v>2</v>
      </c>
      <c r="M162" s="21">
        <f t="shared" si="12"/>
        <v>1</v>
      </c>
      <c r="N162" s="16" t="str">
        <f t="shared" si="13"/>
        <v>Minor</v>
      </c>
      <c r="O162" s="21">
        <f t="shared" si="14"/>
        <v>2</v>
      </c>
      <c r="P162" s="21">
        <f t="shared" si="15"/>
        <v>2</v>
      </c>
      <c r="Q162" s="16" t="str">
        <f t="shared" si="16"/>
        <v>Development Needed</v>
      </c>
      <c r="R162" s="16" t="s">
        <v>228</v>
      </c>
      <c r="S162" s="23">
        <v>46178.275868275465</v>
      </c>
      <c r="T162" s="25">
        <f t="shared" ca="1" si="17"/>
        <v>23.724131724535255</v>
      </c>
      <c r="U162" s="16" t="s">
        <v>223</v>
      </c>
      <c r="V162" s="16"/>
      <c r="W162" s="6" t="str">
        <f ca="1">IF(R162="Missing","Missing evidence",IF(T162&gt;365,"Stale assessment",IF(COUNTIFS($B$2:$B$264,B162,$G$2:$G$264,G162)&gt;1,"Duplicate competency record",IF(INDEX(employees!$H$2:$H$37,MATCH(B162,employees!$A$2:$A$37,0))="Inactive","Inactive account","OK"))))</f>
        <v>OK</v>
      </c>
    </row>
    <row r="163" spans="1:23" ht="15" customHeight="1">
      <c r="A163" s="5" t="s">
        <v>392</v>
      </c>
      <c r="B163" s="16" t="s">
        <v>112</v>
      </c>
      <c r="C163" s="16" t="str">
        <f>IFERROR(INDEX(employees!$B$2:$B$37,MATCH(B163,employees!$A$2:$A$37,0)),"")</f>
        <v>Robin Taylor</v>
      </c>
      <c r="D163" s="16" t="str">
        <f>IFERROR(INDEX(employees!$C$2:$C$37,MATCH(B163,employees!$A$2:$A$37,0)),"")</f>
        <v>HVDC</v>
      </c>
      <c r="E163" s="16" t="str">
        <f>IFERROR(INDEX(employees!$D$2:$D$37,MATCH(B163,employees!$A$2:$A$37,0)),"")</f>
        <v>Engineering Management</v>
      </c>
      <c r="F163" s="16" t="str">
        <f>IFERROR(INDEX(employees!$E$2:$E$37,MATCH(B163,employees!$A$2:$A$37,0)),"")</f>
        <v>Senior Engineer</v>
      </c>
      <c r="G163" s="16" t="s">
        <v>154</v>
      </c>
      <c r="H163" s="16" t="str">
        <f>IFERROR(INDEX(competency_model!$C$2:$C$25,MATCH(G163,competency_model!$A$2:$A$25,0)),"")</f>
        <v>Excel Reporting</v>
      </c>
      <c r="I163" s="16" t="str">
        <f>IFERROR(INDEX(competency_model!$D$2:$D$25,MATCH(G163,competency_model!$A$2:$A$25,0)),"")</f>
        <v>PivotTables and Power Query</v>
      </c>
      <c r="J163" s="16">
        <f>IFERROR(INDEX(competency_model!$F$2:$F$25,MATCH(G163,competency_model!$A$2:$A$25,0)),"")</f>
        <v>4</v>
      </c>
      <c r="K163" s="16" t="str">
        <f>IFERROR(INDEX(competency_model!$G$2:$G$25,MATCH(G163,competency_model!$A$2:$A$25,0)),"")</f>
        <v>High</v>
      </c>
      <c r="L163" s="21">
        <v>1</v>
      </c>
      <c r="M163" s="21">
        <f t="shared" si="12"/>
        <v>3</v>
      </c>
      <c r="N163" s="16" t="str">
        <f t="shared" si="13"/>
        <v>Critical</v>
      </c>
      <c r="O163" s="21">
        <f t="shared" si="14"/>
        <v>3</v>
      </c>
      <c r="P163" s="21">
        <f t="shared" si="15"/>
        <v>9</v>
      </c>
      <c r="Q163" s="16" t="str">
        <f t="shared" si="16"/>
        <v>Development Needed</v>
      </c>
      <c r="R163" s="16" t="s">
        <v>228</v>
      </c>
      <c r="S163" s="23">
        <v>45968.980046863428</v>
      </c>
      <c r="T163" s="25">
        <f t="shared" ca="1" si="17"/>
        <v>233.01995313657244</v>
      </c>
      <c r="U163" s="16" t="s">
        <v>242</v>
      </c>
      <c r="V163" s="16" t="s">
        <v>226</v>
      </c>
      <c r="W163" s="6" t="str">
        <f ca="1">IF(R163="Missing","Missing evidence",IF(T163&gt;365,"Stale assessment",IF(COUNTIFS($B$2:$B$264,B163,$G$2:$G$264,G163)&gt;1,"Duplicate competency record",IF(INDEX(employees!$H$2:$H$37,MATCH(B163,employees!$A$2:$A$37,0))="Inactive","Inactive account","OK"))))</f>
        <v>OK</v>
      </c>
    </row>
    <row r="164" spans="1:23" ht="15" customHeight="1">
      <c r="A164" s="5" t="s">
        <v>393</v>
      </c>
      <c r="B164" s="16" t="s">
        <v>112</v>
      </c>
      <c r="C164" s="16" t="str">
        <f>IFERROR(INDEX(employees!$B$2:$B$37,MATCH(B164,employees!$A$2:$A$37,0)),"")</f>
        <v>Robin Taylor</v>
      </c>
      <c r="D164" s="16" t="str">
        <f>IFERROR(INDEX(employees!$C$2:$C$37,MATCH(B164,employees!$A$2:$A$37,0)),"")</f>
        <v>HVDC</v>
      </c>
      <c r="E164" s="16" t="str">
        <f>IFERROR(INDEX(employees!$D$2:$D$37,MATCH(B164,employees!$A$2:$A$37,0)),"")</f>
        <v>Engineering Management</v>
      </c>
      <c r="F164" s="16" t="str">
        <f>IFERROR(INDEX(employees!$E$2:$E$37,MATCH(B164,employees!$A$2:$A$37,0)),"")</f>
        <v>Senior Engineer</v>
      </c>
      <c r="G164" s="16" t="s">
        <v>197</v>
      </c>
      <c r="H164" s="16" t="str">
        <f>IFERROR(INDEX(competency_model!$C$2:$C$25,MATCH(G164,competency_model!$A$2:$A$25,0)),"")</f>
        <v>User Support</v>
      </c>
      <c r="I164" s="16" t="str">
        <f>IFERROR(INDEX(competency_model!$D$2:$D$25,MATCH(G164,competency_model!$A$2:$A$25,0)),"")</f>
        <v>Competency Tool User Support</v>
      </c>
      <c r="J164" s="16">
        <f>IFERROR(INDEX(competency_model!$F$2:$F$25,MATCH(G164,competency_model!$A$2:$A$25,0)),"")</f>
        <v>3</v>
      </c>
      <c r="K164" s="16" t="str">
        <f>IFERROR(INDEX(competency_model!$G$2:$G$25,MATCH(G164,competency_model!$A$2:$A$25,0)),"")</f>
        <v>Medium</v>
      </c>
      <c r="L164" s="21">
        <v>1</v>
      </c>
      <c r="M164" s="21">
        <f t="shared" si="12"/>
        <v>2</v>
      </c>
      <c r="N164" s="16" t="str">
        <f t="shared" si="13"/>
        <v>Moderate</v>
      </c>
      <c r="O164" s="21">
        <f t="shared" si="14"/>
        <v>2</v>
      </c>
      <c r="P164" s="21">
        <f t="shared" si="15"/>
        <v>4</v>
      </c>
      <c r="Q164" s="16" t="str">
        <f t="shared" si="16"/>
        <v>Development Needed</v>
      </c>
      <c r="R164" s="16" t="s">
        <v>228</v>
      </c>
      <c r="S164" s="23">
        <v>46152.032582199077</v>
      </c>
      <c r="T164" s="25">
        <f t="shared" ca="1" si="17"/>
        <v>49.967417800922703</v>
      </c>
      <c r="U164" s="16" t="s">
        <v>229</v>
      </c>
      <c r="V164" s="16" t="s">
        <v>233</v>
      </c>
      <c r="W164" s="6" t="str">
        <f ca="1">IF(R164="Missing","Missing evidence",IF(T164&gt;365,"Stale assessment",IF(COUNTIFS($B$2:$B$264,B164,$G$2:$G$264,G164)&gt;1,"Duplicate competency record",IF(INDEX(employees!$H$2:$H$37,MATCH(B164,employees!$A$2:$A$37,0))="Inactive","Inactive account","OK"))))</f>
        <v>OK</v>
      </c>
    </row>
    <row r="165" spans="1:23" ht="15" customHeight="1">
      <c r="A165" s="5" t="s">
        <v>394</v>
      </c>
      <c r="B165" s="16" t="s">
        <v>112</v>
      </c>
      <c r="C165" s="16" t="str">
        <f>IFERROR(INDEX(employees!$B$2:$B$37,MATCH(B165,employees!$A$2:$A$37,0)),"")</f>
        <v>Robin Taylor</v>
      </c>
      <c r="D165" s="16" t="str">
        <f>IFERROR(INDEX(employees!$C$2:$C$37,MATCH(B165,employees!$A$2:$A$37,0)),"")</f>
        <v>HVDC</v>
      </c>
      <c r="E165" s="16" t="str">
        <f>IFERROR(INDEX(employees!$D$2:$D$37,MATCH(B165,employees!$A$2:$A$37,0)),"")</f>
        <v>Engineering Management</v>
      </c>
      <c r="F165" s="16" t="str">
        <f>IFERROR(INDEX(employees!$E$2:$E$37,MATCH(B165,employees!$A$2:$A$37,0)),"")</f>
        <v>Senior Engineer</v>
      </c>
      <c r="G165" s="16" t="s">
        <v>160</v>
      </c>
      <c r="H165" s="16" t="str">
        <f>IFERROR(INDEX(competency_model!$C$2:$C$25,MATCH(G165,competency_model!$A$2:$A$25,0)),"")</f>
        <v>PowerPoint Presentation</v>
      </c>
      <c r="I165" s="16" t="str">
        <f>IFERROR(INDEX(competency_model!$D$2:$D$25,MATCH(G165,competency_model!$A$2:$A$25,0)),"")</f>
        <v>Leadership Storytelling</v>
      </c>
      <c r="J165" s="16">
        <f>IFERROR(INDEX(competency_model!$F$2:$F$25,MATCH(G165,competency_model!$A$2:$A$25,0)),"")</f>
        <v>3</v>
      </c>
      <c r="K165" s="16" t="str">
        <f>IFERROR(INDEX(competency_model!$G$2:$G$25,MATCH(G165,competency_model!$A$2:$A$25,0)),"")</f>
        <v>Medium</v>
      </c>
      <c r="L165" s="21">
        <v>1</v>
      </c>
      <c r="M165" s="21">
        <f t="shared" si="12"/>
        <v>2</v>
      </c>
      <c r="N165" s="16" t="str">
        <f t="shared" si="13"/>
        <v>Moderate</v>
      </c>
      <c r="O165" s="21">
        <f t="shared" si="14"/>
        <v>2</v>
      </c>
      <c r="P165" s="21">
        <f t="shared" si="15"/>
        <v>4</v>
      </c>
      <c r="Q165" s="16" t="str">
        <f t="shared" si="16"/>
        <v>Development Needed</v>
      </c>
      <c r="R165" s="16" t="s">
        <v>228</v>
      </c>
      <c r="S165" s="23">
        <v>46022.041266747685</v>
      </c>
      <c r="T165" s="25">
        <f t="shared" ca="1" si="17"/>
        <v>179.95873325231514</v>
      </c>
      <c r="U165" s="16" t="s">
        <v>223</v>
      </c>
      <c r="V165" s="16" t="s">
        <v>239</v>
      </c>
      <c r="W165" s="6" t="str">
        <f ca="1">IF(R165="Missing","Missing evidence",IF(T165&gt;365,"Stale assessment",IF(COUNTIFS($B$2:$B$264,B165,$G$2:$G$264,G165)&gt;1,"Duplicate competency record",IF(INDEX(employees!$H$2:$H$37,MATCH(B165,employees!$A$2:$A$37,0))="Inactive","Inactive account","OK"))))</f>
        <v>OK</v>
      </c>
    </row>
    <row r="166" spans="1:23" ht="15" customHeight="1">
      <c r="A166" s="5" t="s">
        <v>395</v>
      </c>
      <c r="B166" s="16" t="s">
        <v>112</v>
      </c>
      <c r="C166" s="16" t="str">
        <f>IFERROR(INDEX(employees!$B$2:$B$37,MATCH(B166,employees!$A$2:$A$37,0)),"")</f>
        <v>Robin Taylor</v>
      </c>
      <c r="D166" s="16" t="str">
        <f>IFERROR(INDEX(employees!$C$2:$C$37,MATCH(B166,employees!$A$2:$A$37,0)),"")</f>
        <v>HVDC</v>
      </c>
      <c r="E166" s="16" t="str">
        <f>IFERROR(INDEX(employees!$D$2:$D$37,MATCH(B166,employees!$A$2:$A$37,0)),"")</f>
        <v>Engineering Management</v>
      </c>
      <c r="F166" s="16" t="str">
        <f>IFERROR(INDEX(employees!$E$2:$E$37,MATCH(B166,employees!$A$2:$A$37,0)),"")</f>
        <v>Senior Engineer</v>
      </c>
      <c r="G166" s="16" t="s">
        <v>175</v>
      </c>
      <c r="H166" s="16" t="str">
        <f>IFERROR(INDEX(competency_model!$C$2:$C$25,MATCH(G166,competency_model!$A$2:$A$25,0)),"")</f>
        <v>Safety / Compliance</v>
      </c>
      <c r="I166" s="16" t="str">
        <f>IFERROR(INDEX(competency_model!$D$2:$D$25,MATCH(G166,competency_model!$A$2:$A$25,0)),"")</f>
        <v>Engineering Safety Awareness</v>
      </c>
      <c r="J166" s="16">
        <f>IFERROR(INDEX(competency_model!$F$2:$F$25,MATCH(G166,competency_model!$A$2:$A$25,0)),"")</f>
        <v>4</v>
      </c>
      <c r="K166" s="16" t="str">
        <f>IFERROR(INDEX(competency_model!$G$2:$G$25,MATCH(G166,competency_model!$A$2:$A$25,0)),"")</f>
        <v>High</v>
      </c>
      <c r="L166" s="21">
        <v>1</v>
      </c>
      <c r="M166" s="21">
        <f t="shared" si="12"/>
        <v>3</v>
      </c>
      <c r="N166" s="16" t="str">
        <f t="shared" si="13"/>
        <v>Critical</v>
      </c>
      <c r="O166" s="21">
        <f t="shared" si="14"/>
        <v>3</v>
      </c>
      <c r="P166" s="21">
        <f t="shared" si="15"/>
        <v>9</v>
      </c>
      <c r="Q166" s="16" t="str">
        <f t="shared" si="16"/>
        <v>Development Needed</v>
      </c>
      <c r="R166" s="16" t="s">
        <v>225</v>
      </c>
      <c r="S166" s="23">
        <v>46053.569024097225</v>
      </c>
      <c r="T166" s="25">
        <f t="shared" ca="1" si="17"/>
        <v>148.43097590277466</v>
      </c>
      <c r="U166" s="16" t="s">
        <v>223</v>
      </c>
      <c r="V166" s="16" t="s">
        <v>231</v>
      </c>
      <c r="W166" s="6" t="str">
        <f ca="1">IF(R166="Missing","Missing evidence",IF(T166&gt;365,"Stale assessment",IF(COUNTIFS($B$2:$B$264,B166,$G$2:$G$264,G166)&gt;1,"Duplicate competency record",IF(INDEX(employees!$H$2:$H$37,MATCH(B166,employees!$A$2:$A$37,0))="Inactive","Inactive account","OK"))))</f>
        <v>OK</v>
      </c>
    </row>
    <row r="167" spans="1:23" ht="15" customHeight="1">
      <c r="A167" s="5" t="s">
        <v>396</v>
      </c>
      <c r="B167" s="16" t="s">
        <v>112</v>
      </c>
      <c r="C167" s="16" t="str">
        <f>IFERROR(INDEX(employees!$B$2:$B$37,MATCH(B167,employees!$A$2:$A$37,0)),"")</f>
        <v>Robin Taylor</v>
      </c>
      <c r="D167" s="16" t="str">
        <f>IFERROR(INDEX(employees!$C$2:$C$37,MATCH(B167,employees!$A$2:$A$37,0)),"")</f>
        <v>HVDC</v>
      </c>
      <c r="E167" s="16" t="str">
        <f>IFERROR(INDEX(employees!$D$2:$D$37,MATCH(B167,employees!$A$2:$A$37,0)),"")</f>
        <v>Engineering Management</v>
      </c>
      <c r="F167" s="16" t="str">
        <f>IFERROR(INDEX(employees!$E$2:$E$37,MATCH(B167,employees!$A$2:$A$37,0)),"")</f>
        <v>Senior Engineer</v>
      </c>
      <c r="G167" s="16" t="s">
        <v>181</v>
      </c>
      <c r="H167" s="16" t="str">
        <f>IFERROR(INDEX(competency_model!$C$2:$C$25,MATCH(G167,competency_model!$A$2:$A$25,0)),"")</f>
        <v>Stakeholder Communication</v>
      </c>
      <c r="I167" s="16" t="str">
        <f>IFERROR(INDEX(competency_model!$D$2:$D$25,MATCH(G167,competency_model!$A$2:$A$25,0)),"")</f>
        <v>Cross-Functional Updates</v>
      </c>
      <c r="J167" s="16">
        <f>IFERROR(INDEX(competency_model!$F$2:$F$25,MATCH(G167,competency_model!$A$2:$A$25,0)),"")</f>
        <v>3</v>
      </c>
      <c r="K167" s="16" t="str">
        <f>IFERROR(INDEX(competency_model!$G$2:$G$25,MATCH(G167,competency_model!$A$2:$A$25,0)),"")</f>
        <v>Medium</v>
      </c>
      <c r="L167" s="21">
        <v>1</v>
      </c>
      <c r="M167" s="21">
        <f t="shared" si="12"/>
        <v>2</v>
      </c>
      <c r="N167" s="16" t="str">
        <f t="shared" si="13"/>
        <v>Moderate</v>
      </c>
      <c r="O167" s="21">
        <f t="shared" si="14"/>
        <v>2</v>
      </c>
      <c r="P167" s="21">
        <f t="shared" si="15"/>
        <v>4</v>
      </c>
      <c r="Q167" s="16" t="str">
        <f t="shared" si="16"/>
        <v>Development Needed</v>
      </c>
      <c r="R167" s="16" t="s">
        <v>222</v>
      </c>
      <c r="S167" s="23">
        <v>46191.687252384261</v>
      </c>
      <c r="T167" s="25">
        <f t="shared" ca="1" si="17"/>
        <v>10.312747615738772</v>
      </c>
      <c r="U167" s="16" t="s">
        <v>229</v>
      </c>
      <c r="V167" s="16" t="s">
        <v>233</v>
      </c>
      <c r="W167" s="6" t="str">
        <f>IF(R167="Missing","Missing evidence",IF(T167&gt;365,"Stale assessment",IF(COUNTIFS($B$2:$B$264,B167,$G$2:$G$264,G167)&gt;1,"Duplicate competency record",IF(INDEX(employees!$H$2:$H$37,MATCH(B167,employees!$A$2:$A$37,0))="Inactive","Inactive account","OK"))))</f>
        <v>Missing evidence</v>
      </c>
    </row>
    <row r="168" spans="1:23" ht="15" customHeight="1">
      <c r="A168" s="5" t="s">
        <v>397</v>
      </c>
      <c r="B168" s="16" t="s">
        <v>114</v>
      </c>
      <c r="C168" s="16" t="str">
        <f>IFERROR(INDEX(employees!$B$2:$B$37,MATCH(B168,employees!$A$2:$A$37,0)),"")</f>
        <v>Cameron Shah</v>
      </c>
      <c r="D168" s="16" t="str">
        <f>IFERROR(INDEX(employees!$C$2:$C$37,MATCH(B168,employees!$A$2:$A$37,0)),"")</f>
        <v>Grid Automation</v>
      </c>
      <c r="E168" s="16" t="str">
        <f>IFERROR(INDEX(employees!$D$2:$D$37,MATCH(B168,employees!$A$2:$A$37,0)),"")</f>
        <v>Data &amp; Reporting</v>
      </c>
      <c r="F168" s="16" t="str">
        <f>IFERROR(INDEX(employees!$E$2:$E$37,MATCH(B168,employees!$A$2:$A$37,0)),"")</f>
        <v>Senior Engineer</v>
      </c>
      <c r="G168" s="16" t="s">
        <v>175</v>
      </c>
      <c r="H168" s="16" t="str">
        <f>IFERROR(INDEX(competency_model!$C$2:$C$25,MATCH(G168,competency_model!$A$2:$A$25,0)),"")</f>
        <v>Safety / Compliance</v>
      </c>
      <c r="I168" s="16" t="str">
        <f>IFERROR(INDEX(competency_model!$D$2:$D$25,MATCH(G168,competency_model!$A$2:$A$25,0)),"")</f>
        <v>Engineering Safety Awareness</v>
      </c>
      <c r="J168" s="16">
        <f>IFERROR(INDEX(competency_model!$F$2:$F$25,MATCH(G168,competency_model!$A$2:$A$25,0)),"")</f>
        <v>4</v>
      </c>
      <c r="K168" s="16" t="str">
        <f>IFERROR(INDEX(competency_model!$G$2:$G$25,MATCH(G168,competency_model!$A$2:$A$25,0)),"")</f>
        <v>High</v>
      </c>
      <c r="L168" s="21">
        <v>1</v>
      </c>
      <c r="M168" s="21">
        <f t="shared" si="12"/>
        <v>3</v>
      </c>
      <c r="N168" s="16" t="str">
        <f t="shared" si="13"/>
        <v>Critical</v>
      </c>
      <c r="O168" s="21">
        <f t="shared" si="14"/>
        <v>3</v>
      </c>
      <c r="P168" s="21">
        <f t="shared" si="15"/>
        <v>9</v>
      </c>
      <c r="Q168" s="16" t="str">
        <f t="shared" si="16"/>
        <v>Development Needed</v>
      </c>
      <c r="R168" s="16" t="s">
        <v>228</v>
      </c>
      <c r="S168" s="23">
        <v>46018.896374062497</v>
      </c>
      <c r="T168" s="25">
        <f t="shared" ca="1" si="17"/>
        <v>183.10362593750324</v>
      </c>
      <c r="U168" s="16" t="s">
        <v>223</v>
      </c>
      <c r="V168" s="16" t="s">
        <v>231</v>
      </c>
      <c r="W168" s="6" t="str">
        <f ca="1">IF(R168="Missing","Missing evidence",IF(T168&gt;365,"Stale assessment",IF(COUNTIFS($B$2:$B$264,B168,$G$2:$G$264,G168)&gt;1,"Duplicate competency record",IF(INDEX(employees!$H$2:$H$37,MATCH(B168,employees!$A$2:$A$37,0))="Inactive","Inactive account","OK"))))</f>
        <v>OK</v>
      </c>
    </row>
    <row r="169" spans="1:23" ht="15" customHeight="1">
      <c r="A169" s="5" t="s">
        <v>398</v>
      </c>
      <c r="B169" s="16" t="s">
        <v>114</v>
      </c>
      <c r="C169" s="16" t="str">
        <f>IFERROR(INDEX(employees!$B$2:$B$37,MATCH(B169,employees!$A$2:$A$37,0)),"")</f>
        <v>Cameron Shah</v>
      </c>
      <c r="D169" s="16" t="str">
        <f>IFERROR(INDEX(employees!$C$2:$C$37,MATCH(B169,employees!$A$2:$A$37,0)),"")</f>
        <v>Grid Automation</v>
      </c>
      <c r="E169" s="16" t="str">
        <f>IFERROR(INDEX(employees!$D$2:$D$37,MATCH(B169,employees!$A$2:$A$37,0)),"")</f>
        <v>Data &amp; Reporting</v>
      </c>
      <c r="F169" s="16" t="str">
        <f>IFERROR(INDEX(employees!$E$2:$E$37,MATCH(B169,employees!$A$2:$A$37,0)),"")</f>
        <v>Senior Engineer</v>
      </c>
      <c r="G169" s="16" t="s">
        <v>154</v>
      </c>
      <c r="H169" s="16" t="str">
        <f>IFERROR(INDEX(competency_model!$C$2:$C$25,MATCH(G169,competency_model!$A$2:$A$25,0)),"")</f>
        <v>Excel Reporting</v>
      </c>
      <c r="I169" s="16" t="str">
        <f>IFERROR(INDEX(competency_model!$D$2:$D$25,MATCH(G169,competency_model!$A$2:$A$25,0)),"")</f>
        <v>PivotTables and Power Query</v>
      </c>
      <c r="J169" s="16">
        <f>IFERROR(INDEX(competency_model!$F$2:$F$25,MATCH(G169,competency_model!$A$2:$A$25,0)),"")</f>
        <v>4</v>
      </c>
      <c r="K169" s="16" t="str">
        <f>IFERROR(INDEX(competency_model!$G$2:$G$25,MATCH(G169,competency_model!$A$2:$A$25,0)),"")</f>
        <v>High</v>
      </c>
      <c r="L169" s="21">
        <v>1</v>
      </c>
      <c r="M169" s="21">
        <f t="shared" si="12"/>
        <v>3</v>
      </c>
      <c r="N169" s="16" t="str">
        <f t="shared" si="13"/>
        <v>Critical</v>
      </c>
      <c r="O169" s="21">
        <f t="shared" si="14"/>
        <v>3</v>
      </c>
      <c r="P169" s="21">
        <f t="shared" si="15"/>
        <v>9</v>
      </c>
      <c r="Q169" s="16" t="str">
        <f t="shared" si="16"/>
        <v>Development Needed</v>
      </c>
      <c r="R169" s="16" t="s">
        <v>228</v>
      </c>
      <c r="S169" s="23">
        <v>46091.427347858793</v>
      </c>
      <c r="T169" s="25">
        <f t="shared" ca="1" si="17"/>
        <v>110.57265214120707</v>
      </c>
      <c r="U169" s="16" t="s">
        <v>223</v>
      </c>
      <c r="V169" s="16" t="s">
        <v>226</v>
      </c>
      <c r="W169" s="6" t="str">
        <f ca="1">IF(R169="Missing","Missing evidence",IF(T169&gt;365,"Stale assessment",IF(COUNTIFS($B$2:$B$264,B169,$G$2:$G$264,G169)&gt;1,"Duplicate competency record",IF(INDEX(employees!$H$2:$H$37,MATCH(B169,employees!$A$2:$A$37,0))="Inactive","Inactive account","OK"))))</f>
        <v>OK</v>
      </c>
    </row>
    <row r="170" spans="1:23" ht="15" customHeight="1">
      <c r="A170" s="5" t="s">
        <v>399</v>
      </c>
      <c r="B170" s="16" t="s">
        <v>114</v>
      </c>
      <c r="C170" s="16" t="str">
        <f>IFERROR(INDEX(employees!$B$2:$B$37,MATCH(B170,employees!$A$2:$A$37,0)),"")</f>
        <v>Cameron Shah</v>
      </c>
      <c r="D170" s="16" t="str">
        <f>IFERROR(INDEX(employees!$C$2:$C$37,MATCH(B170,employees!$A$2:$A$37,0)),"")</f>
        <v>Grid Automation</v>
      </c>
      <c r="E170" s="16" t="str">
        <f>IFERROR(INDEX(employees!$D$2:$D$37,MATCH(B170,employees!$A$2:$A$37,0)),"")</f>
        <v>Data &amp; Reporting</v>
      </c>
      <c r="F170" s="16" t="str">
        <f>IFERROR(INDEX(employees!$E$2:$E$37,MATCH(B170,employees!$A$2:$A$37,0)),"")</f>
        <v>Senior Engineer</v>
      </c>
      <c r="G170" s="16" t="s">
        <v>160</v>
      </c>
      <c r="H170" s="16" t="str">
        <f>IFERROR(INDEX(competency_model!$C$2:$C$25,MATCH(G170,competency_model!$A$2:$A$25,0)),"")</f>
        <v>PowerPoint Presentation</v>
      </c>
      <c r="I170" s="16" t="str">
        <f>IFERROR(INDEX(competency_model!$D$2:$D$25,MATCH(G170,competency_model!$A$2:$A$25,0)),"")</f>
        <v>Leadership Storytelling</v>
      </c>
      <c r="J170" s="16">
        <f>IFERROR(INDEX(competency_model!$F$2:$F$25,MATCH(G170,competency_model!$A$2:$A$25,0)),"")</f>
        <v>3</v>
      </c>
      <c r="K170" s="16" t="str">
        <f>IFERROR(INDEX(competency_model!$G$2:$G$25,MATCH(G170,competency_model!$A$2:$A$25,0)),"")</f>
        <v>Medium</v>
      </c>
      <c r="L170" s="21">
        <v>1</v>
      </c>
      <c r="M170" s="21">
        <f t="shared" si="12"/>
        <v>2</v>
      </c>
      <c r="N170" s="16" t="str">
        <f t="shared" si="13"/>
        <v>Moderate</v>
      </c>
      <c r="O170" s="21">
        <f t="shared" si="14"/>
        <v>2</v>
      </c>
      <c r="P170" s="21">
        <f t="shared" si="15"/>
        <v>4</v>
      </c>
      <c r="Q170" s="16" t="str">
        <f t="shared" si="16"/>
        <v>Development Needed</v>
      </c>
      <c r="R170" s="16" t="s">
        <v>225</v>
      </c>
      <c r="S170" s="23">
        <v>46043.490206030096</v>
      </c>
      <c r="T170" s="25">
        <f t="shared" ca="1" si="17"/>
        <v>158.50979396990442</v>
      </c>
      <c r="U170" s="16" t="s">
        <v>242</v>
      </c>
      <c r="V170" s="16"/>
      <c r="W170" s="6" t="str">
        <f ca="1">IF(R170="Missing","Missing evidence",IF(T170&gt;365,"Stale assessment",IF(COUNTIFS($B$2:$B$264,B170,$G$2:$G$264,G170)&gt;1,"Duplicate competency record",IF(INDEX(employees!$H$2:$H$37,MATCH(B170,employees!$A$2:$A$37,0))="Inactive","Inactive account","OK"))))</f>
        <v>OK</v>
      </c>
    </row>
    <row r="171" spans="1:23" ht="15" customHeight="1">
      <c r="A171" s="5" t="s">
        <v>400</v>
      </c>
      <c r="B171" s="16" t="s">
        <v>114</v>
      </c>
      <c r="C171" s="16" t="str">
        <f>IFERROR(INDEX(employees!$B$2:$B$37,MATCH(B171,employees!$A$2:$A$37,0)),"")</f>
        <v>Cameron Shah</v>
      </c>
      <c r="D171" s="16" t="str">
        <f>IFERROR(INDEX(employees!$C$2:$C$37,MATCH(B171,employees!$A$2:$A$37,0)),"")</f>
        <v>Grid Automation</v>
      </c>
      <c r="E171" s="16" t="str">
        <f>IFERROR(INDEX(employees!$D$2:$D$37,MATCH(B171,employees!$A$2:$A$37,0)),"")</f>
        <v>Data &amp; Reporting</v>
      </c>
      <c r="F171" s="16" t="str">
        <f>IFERROR(INDEX(employees!$E$2:$E$37,MATCH(B171,employees!$A$2:$A$37,0)),"")</f>
        <v>Senior Engineer</v>
      </c>
      <c r="G171" s="16" t="s">
        <v>202</v>
      </c>
      <c r="H171" s="16" t="str">
        <f>IFERROR(INDEX(competency_model!$C$2:$C$25,MATCH(G171,competency_model!$A$2:$A$25,0)),"")</f>
        <v>Tableau</v>
      </c>
      <c r="I171" s="16" t="str">
        <f>IFERROR(INDEX(competency_model!$D$2:$D$25,MATCH(G171,competency_model!$A$2:$A$25,0)),"")</f>
        <v>Dashboard Filtering and Actions</v>
      </c>
      <c r="J171" s="16">
        <f>IFERROR(INDEX(competency_model!$F$2:$F$25,MATCH(G171,competency_model!$A$2:$A$25,0)),"")</f>
        <v>3</v>
      </c>
      <c r="K171" s="16" t="str">
        <f>IFERROR(INDEX(competency_model!$G$2:$G$25,MATCH(G171,competency_model!$A$2:$A$25,0)),"")</f>
        <v>Medium</v>
      </c>
      <c r="L171" s="21">
        <v>1</v>
      </c>
      <c r="M171" s="21">
        <f t="shared" si="12"/>
        <v>2</v>
      </c>
      <c r="N171" s="16" t="str">
        <f t="shared" si="13"/>
        <v>Moderate</v>
      </c>
      <c r="O171" s="21">
        <f t="shared" si="14"/>
        <v>2</v>
      </c>
      <c r="P171" s="21">
        <f t="shared" si="15"/>
        <v>4</v>
      </c>
      <c r="Q171" s="16" t="str">
        <f t="shared" si="16"/>
        <v>Development Needed</v>
      </c>
      <c r="R171" s="16" t="s">
        <v>228</v>
      </c>
      <c r="S171" s="23">
        <v>46098.22479270833</v>
      </c>
      <c r="T171" s="25">
        <f t="shared" ca="1" si="17"/>
        <v>103.77520729167009</v>
      </c>
      <c r="U171" s="16" t="s">
        <v>223</v>
      </c>
      <c r="V171" s="16"/>
      <c r="W171" s="6" t="str">
        <f ca="1">IF(R171="Missing","Missing evidence",IF(T171&gt;365,"Stale assessment",IF(COUNTIFS($B$2:$B$264,B171,$G$2:$G$264,G171)&gt;1,"Duplicate competency record",IF(INDEX(employees!$H$2:$H$37,MATCH(B171,employees!$A$2:$A$37,0))="Inactive","Inactive account","OK"))))</f>
        <v>OK</v>
      </c>
    </row>
    <row r="172" spans="1:23" ht="15" customHeight="1">
      <c r="A172" s="5" t="s">
        <v>401</v>
      </c>
      <c r="B172" s="16" t="s">
        <v>114</v>
      </c>
      <c r="C172" s="16" t="str">
        <f>IFERROR(INDEX(employees!$B$2:$B$37,MATCH(B172,employees!$A$2:$A$37,0)),"")</f>
        <v>Cameron Shah</v>
      </c>
      <c r="D172" s="16" t="str">
        <f>IFERROR(INDEX(employees!$C$2:$C$37,MATCH(B172,employees!$A$2:$A$37,0)),"")</f>
        <v>Grid Automation</v>
      </c>
      <c r="E172" s="16" t="str">
        <f>IFERROR(INDEX(employees!$D$2:$D$37,MATCH(B172,employees!$A$2:$A$37,0)),"")</f>
        <v>Data &amp; Reporting</v>
      </c>
      <c r="F172" s="16" t="str">
        <f>IFERROR(INDEX(employees!$E$2:$E$37,MATCH(B172,employees!$A$2:$A$37,0)),"")</f>
        <v>Senior Engineer</v>
      </c>
      <c r="G172" s="16" t="s">
        <v>149</v>
      </c>
      <c r="H172" s="16" t="str">
        <f>IFERROR(INDEX(competency_model!$C$2:$C$25,MATCH(G172,competency_model!$A$2:$A$25,0)),"")</f>
        <v>Data Analysis</v>
      </c>
      <c r="I172" s="16" t="str">
        <f>IFERROR(INDEX(competency_model!$D$2:$D$25,MATCH(G172,competency_model!$A$2:$A$25,0)),"")</f>
        <v>Python Data Cleaning</v>
      </c>
      <c r="J172" s="16">
        <f>IFERROR(INDEX(competency_model!$F$2:$F$25,MATCH(G172,competency_model!$A$2:$A$25,0)),"")</f>
        <v>4</v>
      </c>
      <c r="K172" s="16" t="str">
        <f>IFERROR(INDEX(competency_model!$G$2:$G$25,MATCH(G172,competency_model!$A$2:$A$25,0)),"")</f>
        <v>High</v>
      </c>
      <c r="L172" s="21">
        <v>2</v>
      </c>
      <c r="M172" s="21">
        <f t="shared" si="12"/>
        <v>2</v>
      </c>
      <c r="N172" s="16" t="str">
        <f t="shared" si="13"/>
        <v>Moderate</v>
      </c>
      <c r="O172" s="21">
        <f t="shared" si="14"/>
        <v>3</v>
      </c>
      <c r="P172" s="21">
        <f t="shared" si="15"/>
        <v>6</v>
      </c>
      <c r="Q172" s="16" t="str">
        <f t="shared" si="16"/>
        <v>Development Needed</v>
      </c>
      <c r="R172" s="16" t="s">
        <v>228</v>
      </c>
      <c r="S172" s="23">
        <v>46189.800711736112</v>
      </c>
      <c r="T172" s="25">
        <f t="shared" ca="1" si="17"/>
        <v>12.199288263887865</v>
      </c>
      <c r="U172" s="16" t="s">
        <v>223</v>
      </c>
      <c r="V172" s="16"/>
      <c r="W172" s="6" t="str">
        <f ca="1">IF(R172="Missing","Missing evidence",IF(T172&gt;365,"Stale assessment",IF(COUNTIFS($B$2:$B$264,B172,$G$2:$G$264,G172)&gt;1,"Duplicate competency record",IF(INDEX(employees!$H$2:$H$37,MATCH(B172,employees!$A$2:$A$37,0))="Inactive","Inactive account","OK"))))</f>
        <v>OK</v>
      </c>
    </row>
    <row r="173" spans="1:23" ht="15" customHeight="1">
      <c r="A173" s="5" t="s">
        <v>402</v>
      </c>
      <c r="B173" s="16" t="s">
        <v>114</v>
      </c>
      <c r="C173" s="16" t="str">
        <f>IFERROR(INDEX(employees!$B$2:$B$37,MATCH(B173,employees!$A$2:$A$37,0)),"")</f>
        <v>Cameron Shah</v>
      </c>
      <c r="D173" s="16" t="str">
        <f>IFERROR(INDEX(employees!$C$2:$C$37,MATCH(B173,employees!$A$2:$A$37,0)),"")</f>
        <v>Grid Automation</v>
      </c>
      <c r="E173" s="16" t="str">
        <f>IFERROR(INDEX(employees!$D$2:$D$37,MATCH(B173,employees!$A$2:$A$37,0)),"")</f>
        <v>Data &amp; Reporting</v>
      </c>
      <c r="F173" s="16" t="str">
        <f>IFERROR(INDEX(employees!$E$2:$E$37,MATCH(B173,employees!$A$2:$A$37,0)),"")</f>
        <v>Senior Engineer</v>
      </c>
      <c r="G173" s="16" t="s">
        <v>157</v>
      </c>
      <c r="H173" s="16" t="str">
        <f>IFERROR(INDEX(competency_model!$C$2:$C$25,MATCH(G173,competency_model!$A$2:$A$25,0)),"")</f>
        <v>Tableau</v>
      </c>
      <c r="I173" s="16" t="str">
        <f>IFERROR(INDEX(competency_model!$D$2:$D$25,MATCH(G173,competency_model!$A$2:$A$25,0)),"")</f>
        <v>Tableau Dashboard Building</v>
      </c>
      <c r="J173" s="16">
        <f>IFERROR(INDEX(competency_model!$F$2:$F$25,MATCH(G173,competency_model!$A$2:$A$25,0)),"")</f>
        <v>3</v>
      </c>
      <c r="K173" s="16" t="str">
        <f>IFERROR(INDEX(competency_model!$G$2:$G$25,MATCH(G173,competency_model!$A$2:$A$25,0)),"")</f>
        <v>High</v>
      </c>
      <c r="L173" s="21">
        <v>1</v>
      </c>
      <c r="M173" s="21">
        <f t="shared" si="12"/>
        <v>2</v>
      </c>
      <c r="N173" s="16" t="str">
        <f t="shared" si="13"/>
        <v>Moderate</v>
      </c>
      <c r="O173" s="21">
        <f t="shared" si="14"/>
        <v>3</v>
      </c>
      <c r="P173" s="21">
        <f t="shared" si="15"/>
        <v>6</v>
      </c>
      <c r="Q173" s="16" t="str">
        <f t="shared" si="16"/>
        <v>Development Needed</v>
      </c>
      <c r="R173" s="16" t="s">
        <v>225</v>
      </c>
      <c r="S173" s="23">
        <v>46029.259905578707</v>
      </c>
      <c r="T173" s="25">
        <f t="shared" ca="1" si="17"/>
        <v>172.74009442129318</v>
      </c>
      <c r="U173" s="16" t="s">
        <v>223</v>
      </c>
      <c r="V173" s="16" t="s">
        <v>231</v>
      </c>
      <c r="W173" s="6" t="str">
        <f ca="1">IF(R173="Missing","Missing evidence",IF(T173&gt;365,"Stale assessment",IF(COUNTIFS($B$2:$B$264,B173,$G$2:$G$264,G173)&gt;1,"Duplicate competency record",IF(INDEX(employees!$H$2:$H$37,MATCH(B173,employees!$A$2:$A$37,0))="Inactive","Inactive account","OK"))))</f>
        <v>OK</v>
      </c>
    </row>
    <row r="174" spans="1:23" ht="15" customHeight="1">
      <c r="A174" s="5" t="s">
        <v>403</v>
      </c>
      <c r="B174" s="16" t="s">
        <v>114</v>
      </c>
      <c r="C174" s="16" t="str">
        <f>IFERROR(INDEX(employees!$B$2:$B$37,MATCH(B174,employees!$A$2:$A$37,0)),"")</f>
        <v>Cameron Shah</v>
      </c>
      <c r="D174" s="16" t="str">
        <f>IFERROR(INDEX(employees!$C$2:$C$37,MATCH(B174,employees!$A$2:$A$37,0)),"")</f>
        <v>Grid Automation</v>
      </c>
      <c r="E174" s="16" t="str">
        <f>IFERROR(INDEX(employees!$D$2:$D$37,MATCH(B174,employees!$A$2:$A$37,0)),"")</f>
        <v>Data &amp; Reporting</v>
      </c>
      <c r="F174" s="16" t="str">
        <f>IFERROR(INDEX(employees!$E$2:$E$37,MATCH(B174,employees!$A$2:$A$37,0)),"")</f>
        <v>Senior Engineer</v>
      </c>
      <c r="G174" s="16" t="s">
        <v>151</v>
      </c>
      <c r="H174" s="16" t="str">
        <f>IFERROR(INDEX(competency_model!$C$2:$C$25,MATCH(G174,competency_model!$A$2:$A$25,0)),"")</f>
        <v>Data Analysis</v>
      </c>
      <c r="I174" s="16" t="str">
        <f>IFERROR(INDEX(competency_model!$D$2:$D$25,MATCH(G174,competency_model!$A$2:$A$25,0)),"")</f>
        <v>SQL Querying</v>
      </c>
      <c r="J174" s="16">
        <f>IFERROR(INDEX(competency_model!$F$2:$F$25,MATCH(G174,competency_model!$A$2:$A$25,0)),"")</f>
        <v>3</v>
      </c>
      <c r="K174" s="16" t="str">
        <f>IFERROR(INDEX(competency_model!$G$2:$G$25,MATCH(G174,competency_model!$A$2:$A$25,0)),"")</f>
        <v>Medium</v>
      </c>
      <c r="L174" s="21">
        <v>1</v>
      </c>
      <c r="M174" s="21">
        <f t="shared" si="12"/>
        <v>2</v>
      </c>
      <c r="N174" s="16" t="str">
        <f t="shared" si="13"/>
        <v>Moderate</v>
      </c>
      <c r="O174" s="21">
        <f t="shared" si="14"/>
        <v>2</v>
      </c>
      <c r="P174" s="21">
        <f t="shared" si="15"/>
        <v>4</v>
      </c>
      <c r="Q174" s="16" t="str">
        <f t="shared" si="16"/>
        <v>Development Needed</v>
      </c>
      <c r="R174" s="16" t="s">
        <v>225</v>
      </c>
      <c r="S174" s="23">
        <v>46100.393712974539</v>
      </c>
      <c r="T174" s="25">
        <f t="shared" ca="1" si="17"/>
        <v>101.60628702546092</v>
      </c>
      <c r="U174" s="16" t="s">
        <v>229</v>
      </c>
      <c r="V174" s="16" t="s">
        <v>239</v>
      </c>
      <c r="W174" s="6" t="str">
        <f ca="1">IF(R174="Missing","Missing evidence",IF(T174&gt;365,"Stale assessment",IF(COUNTIFS($B$2:$B$264,B174,$G$2:$G$264,G174)&gt;1,"Duplicate competency record",IF(INDEX(employees!$H$2:$H$37,MATCH(B174,employees!$A$2:$A$37,0))="Inactive","Inactive account","OK"))))</f>
        <v>OK</v>
      </c>
    </row>
    <row r="175" spans="1:23" ht="15" customHeight="1">
      <c r="A175" s="5" t="s">
        <v>404</v>
      </c>
      <c r="B175" s="16" t="s">
        <v>116</v>
      </c>
      <c r="C175" s="16" t="str">
        <f>IFERROR(INDEX(employees!$B$2:$B$37,MATCH(B175,employees!$A$2:$A$37,0)),"")</f>
        <v>Casey Khan</v>
      </c>
      <c r="D175" s="16" t="str">
        <f>IFERROR(INDEX(employees!$C$2:$C$37,MATCH(B175,employees!$A$2:$A$37,0)),"")</f>
        <v>HVDC</v>
      </c>
      <c r="E175" s="16" t="str">
        <f>IFERROR(INDEX(employees!$D$2:$D$37,MATCH(B175,employees!$A$2:$A$37,0)),"")</f>
        <v>Software Engineering</v>
      </c>
      <c r="F175" s="16" t="str">
        <f>IFERROR(INDEX(employees!$E$2:$E$37,MATCH(B175,employees!$A$2:$A$37,0)),"")</f>
        <v>Graduate</v>
      </c>
      <c r="G175" s="16" t="s">
        <v>151</v>
      </c>
      <c r="H175" s="16" t="str">
        <f>IFERROR(INDEX(competency_model!$C$2:$C$25,MATCH(G175,competency_model!$A$2:$A$25,0)),"")</f>
        <v>Data Analysis</v>
      </c>
      <c r="I175" s="16" t="str">
        <f>IFERROR(INDEX(competency_model!$D$2:$D$25,MATCH(G175,competency_model!$A$2:$A$25,0)),"")</f>
        <v>SQL Querying</v>
      </c>
      <c r="J175" s="16">
        <f>IFERROR(INDEX(competency_model!$F$2:$F$25,MATCH(G175,competency_model!$A$2:$A$25,0)),"")</f>
        <v>3</v>
      </c>
      <c r="K175" s="16" t="str">
        <f>IFERROR(INDEX(competency_model!$G$2:$G$25,MATCH(G175,competency_model!$A$2:$A$25,0)),"")</f>
        <v>Medium</v>
      </c>
      <c r="L175" s="21">
        <v>3</v>
      </c>
      <c r="M175" s="21">
        <f t="shared" si="12"/>
        <v>0</v>
      </c>
      <c r="N175" s="16" t="str">
        <f t="shared" si="13"/>
        <v>No Gap</v>
      </c>
      <c r="O175" s="21">
        <f t="shared" si="14"/>
        <v>2</v>
      </c>
      <c r="P175" s="21">
        <f t="shared" si="15"/>
        <v>0</v>
      </c>
      <c r="Q175" s="16" t="str">
        <f t="shared" si="16"/>
        <v>Ready</v>
      </c>
      <c r="R175" s="16" t="s">
        <v>222</v>
      </c>
      <c r="S175" s="23">
        <v>46147.492021307873</v>
      </c>
      <c r="T175" s="25">
        <f t="shared" ca="1" si="17"/>
        <v>54.507978692126926</v>
      </c>
      <c r="U175" s="16" t="s">
        <v>242</v>
      </c>
      <c r="V175" s="16" t="s">
        <v>239</v>
      </c>
      <c r="W175" s="6" t="str">
        <f>IF(R175="Missing","Missing evidence",IF(T175&gt;365,"Stale assessment",IF(COUNTIFS($B$2:$B$264,B175,$G$2:$G$264,G175)&gt;1,"Duplicate competency record",IF(INDEX(employees!$H$2:$H$37,MATCH(B175,employees!$A$2:$A$37,0))="Inactive","Inactive account","OK"))))</f>
        <v>Missing evidence</v>
      </c>
    </row>
    <row r="176" spans="1:23" ht="15" customHeight="1">
      <c r="A176" s="5" t="s">
        <v>405</v>
      </c>
      <c r="B176" s="16" t="s">
        <v>116</v>
      </c>
      <c r="C176" s="16" t="str">
        <f>IFERROR(INDEX(employees!$B$2:$B$37,MATCH(B176,employees!$A$2:$A$37,0)),"")</f>
        <v>Casey Khan</v>
      </c>
      <c r="D176" s="16" t="str">
        <f>IFERROR(INDEX(employees!$C$2:$C$37,MATCH(B176,employees!$A$2:$A$37,0)),"")</f>
        <v>HVDC</v>
      </c>
      <c r="E176" s="16" t="str">
        <f>IFERROR(INDEX(employees!$D$2:$D$37,MATCH(B176,employees!$A$2:$A$37,0)),"")</f>
        <v>Software Engineering</v>
      </c>
      <c r="F176" s="16" t="str">
        <f>IFERROR(INDEX(employees!$E$2:$E$37,MATCH(B176,employees!$A$2:$A$37,0)),"")</f>
        <v>Graduate</v>
      </c>
      <c r="G176" s="16" t="s">
        <v>154</v>
      </c>
      <c r="H176" s="16" t="str">
        <f>IFERROR(INDEX(competency_model!$C$2:$C$25,MATCH(G176,competency_model!$A$2:$A$25,0)),"")</f>
        <v>Excel Reporting</v>
      </c>
      <c r="I176" s="16" t="str">
        <f>IFERROR(INDEX(competency_model!$D$2:$D$25,MATCH(G176,competency_model!$A$2:$A$25,0)),"")</f>
        <v>PivotTables and Power Query</v>
      </c>
      <c r="J176" s="16">
        <f>IFERROR(INDEX(competency_model!$F$2:$F$25,MATCH(G176,competency_model!$A$2:$A$25,0)),"")</f>
        <v>4</v>
      </c>
      <c r="K176" s="16" t="str">
        <f>IFERROR(INDEX(competency_model!$G$2:$G$25,MATCH(G176,competency_model!$A$2:$A$25,0)),"")</f>
        <v>High</v>
      </c>
      <c r="L176" s="21">
        <v>1</v>
      </c>
      <c r="M176" s="21">
        <f t="shared" si="12"/>
        <v>3</v>
      </c>
      <c r="N176" s="16" t="str">
        <f t="shared" si="13"/>
        <v>Critical</v>
      </c>
      <c r="O176" s="21">
        <f t="shared" si="14"/>
        <v>3</v>
      </c>
      <c r="P176" s="21">
        <f t="shared" si="15"/>
        <v>9</v>
      </c>
      <c r="Q176" s="16" t="str">
        <f t="shared" si="16"/>
        <v>Development Needed</v>
      </c>
      <c r="R176" s="16" t="s">
        <v>228</v>
      </c>
      <c r="S176" s="23">
        <v>46047.084949988428</v>
      </c>
      <c r="T176" s="25">
        <f t="shared" ca="1" si="17"/>
        <v>154.91505001157202</v>
      </c>
      <c r="U176" s="16" t="s">
        <v>223</v>
      </c>
      <c r="V176" s="16" t="s">
        <v>233</v>
      </c>
      <c r="W176" s="6" t="str">
        <f ca="1">IF(R176="Missing","Missing evidence",IF(T176&gt;365,"Stale assessment",IF(COUNTIFS($B$2:$B$264,B176,$G$2:$G$264,G176)&gt;1,"Duplicate competency record",IF(INDEX(employees!$H$2:$H$37,MATCH(B176,employees!$A$2:$A$37,0))="Inactive","Inactive account","OK"))))</f>
        <v>OK</v>
      </c>
    </row>
    <row r="177" spans="1:23" ht="15" customHeight="1">
      <c r="A177" s="5" t="s">
        <v>406</v>
      </c>
      <c r="B177" s="16" t="s">
        <v>116</v>
      </c>
      <c r="C177" s="16" t="str">
        <f>IFERROR(INDEX(employees!$B$2:$B$37,MATCH(B177,employees!$A$2:$A$37,0)),"")</f>
        <v>Casey Khan</v>
      </c>
      <c r="D177" s="16" t="str">
        <f>IFERROR(INDEX(employees!$C$2:$C$37,MATCH(B177,employees!$A$2:$A$37,0)),"")</f>
        <v>HVDC</v>
      </c>
      <c r="E177" s="16" t="str">
        <f>IFERROR(INDEX(employees!$D$2:$D$37,MATCH(B177,employees!$A$2:$A$37,0)),"")</f>
        <v>Software Engineering</v>
      </c>
      <c r="F177" s="16" t="str">
        <f>IFERROR(INDEX(employees!$E$2:$E$37,MATCH(B177,employees!$A$2:$A$37,0)),"")</f>
        <v>Graduate</v>
      </c>
      <c r="G177" s="16" t="s">
        <v>186</v>
      </c>
      <c r="H177" s="16" t="str">
        <f>IFERROR(INDEX(competency_model!$C$2:$C$25,MATCH(G177,competency_model!$A$2:$A$25,0)),"")</f>
        <v>Software Tools</v>
      </c>
      <c r="I177" s="16" t="str">
        <f>IFERROR(INDEX(competency_model!$D$2:$D$25,MATCH(G177,competency_model!$A$2:$A$25,0)),"")</f>
        <v>Version Control with Git</v>
      </c>
      <c r="J177" s="16">
        <f>IFERROR(INDEX(competency_model!$F$2:$F$25,MATCH(G177,competency_model!$A$2:$A$25,0)),"")</f>
        <v>3</v>
      </c>
      <c r="K177" s="16" t="str">
        <f>IFERROR(INDEX(competency_model!$G$2:$G$25,MATCH(G177,competency_model!$A$2:$A$25,0)),"")</f>
        <v>Medium</v>
      </c>
      <c r="L177" s="21">
        <v>1</v>
      </c>
      <c r="M177" s="21">
        <f t="shared" si="12"/>
        <v>2</v>
      </c>
      <c r="N177" s="16" t="str">
        <f t="shared" si="13"/>
        <v>Moderate</v>
      </c>
      <c r="O177" s="21">
        <f t="shared" si="14"/>
        <v>2</v>
      </c>
      <c r="P177" s="21">
        <f t="shared" si="15"/>
        <v>4</v>
      </c>
      <c r="Q177" s="16" t="str">
        <f t="shared" si="16"/>
        <v>Development Needed</v>
      </c>
      <c r="R177" s="16" t="s">
        <v>222</v>
      </c>
      <c r="S177" s="23">
        <v>46063.594708900462</v>
      </c>
      <c r="T177" s="25">
        <f t="shared" ca="1" si="17"/>
        <v>138.40529109953786</v>
      </c>
      <c r="U177" s="16" t="s">
        <v>223</v>
      </c>
      <c r="V177" s="16" t="s">
        <v>233</v>
      </c>
      <c r="W177" s="6" t="str">
        <f>IF(R177="Missing","Missing evidence",IF(T177&gt;365,"Stale assessment",IF(COUNTIFS($B$2:$B$264,B177,$G$2:$G$264,G177)&gt;1,"Duplicate competency record",IF(INDEX(employees!$H$2:$H$37,MATCH(B177,employees!$A$2:$A$37,0))="Inactive","Inactive account","OK"))))</f>
        <v>Missing evidence</v>
      </c>
    </row>
    <row r="178" spans="1:23" ht="15" customHeight="1">
      <c r="A178" s="5" t="s">
        <v>407</v>
      </c>
      <c r="B178" s="16" t="s">
        <v>116</v>
      </c>
      <c r="C178" s="16" t="str">
        <f>IFERROR(INDEX(employees!$B$2:$B$37,MATCH(B178,employees!$A$2:$A$37,0)),"")</f>
        <v>Casey Khan</v>
      </c>
      <c r="D178" s="16" t="str">
        <f>IFERROR(INDEX(employees!$C$2:$C$37,MATCH(B178,employees!$A$2:$A$37,0)),"")</f>
        <v>HVDC</v>
      </c>
      <c r="E178" s="16" t="str">
        <f>IFERROR(INDEX(employees!$D$2:$D$37,MATCH(B178,employees!$A$2:$A$37,0)),"")</f>
        <v>Software Engineering</v>
      </c>
      <c r="F178" s="16" t="str">
        <f>IFERROR(INDEX(employees!$E$2:$E$37,MATCH(B178,employees!$A$2:$A$37,0)),"")</f>
        <v>Graduate</v>
      </c>
      <c r="G178" s="16" t="s">
        <v>183</v>
      </c>
      <c r="H178" s="16" t="str">
        <f>IFERROR(INDEX(competency_model!$C$2:$C$25,MATCH(G178,competency_model!$A$2:$A$25,0)),"")</f>
        <v>Python</v>
      </c>
      <c r="I178" s="16" t="str">
        <f>IFERROR(INDEX(competency_model!$D$2:$D$25,MATCH(G178,competency_model!$A$2:$A$25,0)),"")</f>
        <v>Automation Scripting</v>
      </c>
      <c r="J178" s="16">
        <f>IFERROR(INDEX(competency_model!$F$2:$F$25,MATCH(G178,competency_model!$A$2:$A$25,0)),"")</f>
        <v>3</v>
      </c>
      <c r="K178" s="16" t="str">
        <f>IFERROR(INDEX(competency_model!$G$2:$G$25,MATCH(G178,competency_model!$A$2:$A$25,0)),"")</f>
        <v>Medium</v>
      </c>
      <c r="L178" s="21">
        <v>2</v>
      </c>
      <c r="M178" s="21">
        <f t="shared" si="12"/>
        <v>1</v>
      </c>
      <c r="N178" s="16" t="str">
        <f t="shared" si="13"/>
        <v>Minor</v>
      </c>
      <c r="O178" s="21">
        <f t="shared" si="14"/>
        <v>2</v>
      </c>
      <c r="P178" s="21">
        <f t="shared" si="15"/>
        <v>2</v>
      </c>
      <c r="Q178" s="16" t="str">
        <f t="shared" si="16"/>
        <v>Development Needed</v>
      </c>
      <c r="R178" s="16" t="s">
        <v>228</v>
      </c>
      <c r="S178" s="23">
        <v>46105.593692824077</v>
      </c>
      <c r="T178" s="25">
        <f t="shared" ca="1" si="17"/>
        <v>96.406307175922848</v>
      </c>
      <c r="U178" s="16" t="s">
        <v>229</v>
      </c>
      <c r="V178" s="16" t="s">
        <v>231</v>
      </c>
      <c r="W178" s="6" t="str">
        <f ca="1">IF(R178="Missing","Missing evidence",IF(T178&gt;365,"Stale assessment",IF(COUNTIFS($B$2:$B$264,B178,$G$2:$G$264,G178)&gt;1,"Duplicate competency record",IF(INDEX(employees!$H$2:$H$37,MATCH(B178,employees!$A$2:$A$37,0))="Inactive","Inactive account","OK"))))</f>
        <v>OK</v>
      </c>
    </row>
    <row r="179" spans="1:23" ht="15" customHeight="1">
      <c r="A179" s="5" t="s">
        <v>408</v>
      </c>
      <c r="B179" s="16" t="s">
        <v>116</v>
      </c>
      <c r="C179" s="16" t="str">
        <f>IFERROR(INDEX(employees!$B$2:$B$37,MATCH(B179,employees!$A$2:$A$37,0)),"")</f>
        <v>Casey Khan</v>
      </c>
      <c r="D179" s="16" t="str">
        <f>IFERROR(INDEX(employees!$C$2:$C$37,MATCH(B179,employees!$A$2:$A$37,0)),"")</f>
        <v>HVDC</v>
      </c>
      <c r="E179" s="16" t="str">
        <f>IFERROR(INDEX(employees!$D$2:$D$37,MATCH(B179,employees!$A$2:$A$37,0)),"")</f>
        <v>Software Engineering</v>
      </c>
      <c r="F179" s="16" t="str">
        <f>IFERROR(INDEX(employees!$E$2:$E$37,MATCH(B179,employees!$A$2:$A$37,0)),"")</f>
        <v>Graduate</v>
      </c>
      <c r="G179" s="16" t="s">
        <v>197</v>
      </c>
      <c r="H179" s="16" t="str">
        <f>IFERROR(INDEX(competency_model!$C$2:$C$25,MATCH(G179,competency_model!$A$2:$A$25,0)),"")</f>
        <v>User Support</v>
      </c>
      <c r="I179" s="16" t="str">
        <f>IFERROR(INDEX(competency_model!$D$2:$D$25,MATCH(G179,competency_model!$A$2:$A$25,0)),"")</f>
        <v>Competency Tool User Support</v>
      </c>
      <c r="J179" s="16">
        <f>IFERROR(INDEX(competency_model!$F$2:$F$25,MATCH(G179,competency_model!$A$2:$A$25,0)),"")</f>
        <v>3</v>
      </c>
      <c r="K179" s="16" t="str">
        <f>IFERROR(INDEX(competency_model!$G$2:$G$25,MATCH(G179,competency_model!$A$2:$A$25,0)),"")</f>
        <v>Medium</v>
      </c>
      <c r="L179" s="21">
        <v>2</v>
      </c>
      <c r="M179" s="21">
        <f t="shared" si="12"/>
        <v>1</v>
      </c>
      <c r="N179" s="16" t="str">
        <f t="shared" si="13"/>
        <v>Minor</v>
      </c>
      <c r="O179" s="21">
        <f t="shared" si="14"/>
        <v>2</v>
      </c>
      <c r="P179" s="21">
        <f t="shared" si="15"/>
        <v>2</v>
      </c>
      <c r="Q179" s="16" t="str">
        <f t="shared" si="16"/>
        <v>Development Needed</v>
      </c>
      <c r="R179" s="16" t="s">
        <v>228</v>
      </c>
      <c r="S179" s="23">
        <v>46097.726237881943</v>
      </c>
      <c r="T179" s="25">
        <f t="shared" ca="1" si="17"/>
        <v>104.27376211805677</v>
      </c>
      <c r="U179" s="16" t="s">
        <v>223</v>
      </c>
      <c r="V179" s="16" t="s">
        <v>226</v>
      </c>
      <c r="W179" s="6" t="str">
        <f ca="1">IF(R179="Missing","Missing evidence",IF(T179&gt;365,"Stale assessment",IF(COUNTIFS($B$2:$B$264,B179,$G$2:$G$264,G179)&gt;1,"Duplicate competency record",IF(INDEX(employees!$H$2:$H$37,MATCH(B179,employees!$A$2:$A$37,0))="Inactive","Inactive account","OK"))))</f>
        <v>OK</v>
      </c>
    </row>
    <row r="180" spans="1:23" ht="15" customHeight="1">
      <c r="A180" s="5" t="s">
        <v>409</v>
      </c>
      <c r="B180" s="16" t="s">
        <v>116</v>
      </c>
      <c r="C180" s="16" t="str">
        <f>IFERROR(INDEX(employees!$B$2:$B$37,MATCH(B180,employees!$A$2:$A$37,0)),"")</f>
        <v>Casey Khan</v>
      </c>
      <c r="D180" s="16" t="str">
        <f>IFERROR(INDEX(employees!$C$2:$C$37,MATCH(B180,employees!$A$2:$A$37,0)),"")</f>
        <v>HVDC</v>
      </c>
      <c r="E180" s="16" t="str">
        <f>IFERROR(INDEX(employees!$D$2:$D$37,MATCH(B180,employees!$A$2:$A$37,0)),"")</f>
        <v>Software Engineering</v>
      </c>
      <c r="F180" s="16" t="str">
        <f>IFERROR(INDEX(employees!$E$2:$E$37,MATCH(B180,employees!$A$2:$A$37,0)),"")</f>
        <v>Graduate</v>
      </c>
      <c r="G180" s="16" t="s">
        <v>160</v>
      </c>
      <c r="H180" s="16" t="str">
        <f>IFERROR(INDEX(competency_model!$C$2:$C$25,MATCH(G180,competency_model!$A$2:$A$25,0)),"")</f>
        <v>PowerPoint Presentation</v>
      </c>
      <c r="I180" s="16" t="str">
        <f>IFERROR(INDEX(competency_model!$D$2:$D$25,MATCH(G180,competency_model!$A$2:$A$25,0)),"")</f>
        <v>Leadership Storytelling</v>
      </c>
      <c r="J180" s="16">
        <f>IFERROR(INDEX(competency_model!$F$2:$F$25,MATCH(G180,competency_model!$A$2:$A$25,0)),"")</f>
        <v>3</v>
      </c>
      <c r="K180" s="16" t="str">
        <f>IFERROR(INDEX(competency_model!$G$2:$G$25,MATCH(G180,competency_model!$A$2:$A$25,0)),"")</f>
        <v>Medium</v>
      </c>
      <c r="L180" s="21">
        <v>3</v>
      </c>
      <c r="M180" s="21">
        <f t="shared" si="12"/>
        <v>0</v>
      </c>
      <c r="N180" s="16" t="str">
        <f t="shared" si="13"/>
        <v>No Gap</v>
      </c>
      <c r="O180" s="21">
        <f t="shared" si="14"/>
        <v>2</v>
      </c>
      <c r="P180" s="21">
        <f t="shared" si="15"/>
        <v>0</v>
      </c>
      <c r="Q180" s="16" t="str">
        <f t="shared" si="16"/>
        <v>Ready</v>
      </c>
      <c r="R180" s="16" t="s">
        <v>228</v>
      </c>
      <c r="S180" s="23">
        <v>46155.091025960646</v>
      </c>
      <c r="T180" s="25">
        <f t="shared" ca="1" si="17"/>
        <v>46.90897403935378</v>
      </c>
      <c r="U180" s="16" t="s">
        <v>223</v>
      </c>
      <c r="V180" s="16"/>
      <c r="W180" s="6" t="str">
        <f ca="1">IF(R180="Missing","Missing evidence",IF(T180&gt;365,"Stale assessment",IF(COUNTIFS($B$2:$B$264,B180,$G$2:$G$264,G180)&gt;1,"Duplicate competency record",IF(INDEX(employees!$H$2:$H$37,MATCH(B180,employees!$A$2:$A$37,0))="Inactive","Inactive account","OK"))))</f>
        <v>Duplicate competency record</v>
      </c>
    </row>
    <row r="181" spans="1:23" ht="15" customHeight="1">
      <c r="A181" s="5" t="s">
        <v>410</v>
      </c>
      <c r="B181" s="16" t="s">
        <v>116</v>
      </c>
      <c r="C181" s="16" t="str">
        <f>IFERROR(INDEX(employees!$B$2:$B$37,MATCH(B181,employees!$A$2:$A$37,0)),"")</f>
        <v>Casey Khan</v>
      </c>
      <c r="D181" s="16" t="str">
        <f>IFERROR(INDEX(employees!$C$2:$C$37,MATCH(B181,employees!$A$2:$A$37,0)),"")</f>
        <v>HVDC</v>
      </c>
      <c r="E181" s="16" t="str">
        <f>IFERROR(INDEX(employees!$D$2:$D$37,MATCH(B181,employees!$A$2:$A$37,0)),"")</f>
        <v>Software Engineering</v>
      </c>
      <c r="F181" s="16" t="str">
        <f>IFERROR(INDEX(employees!$E$2:$E$37,MATCH(B181,employees!$A$2:$A$37,0)),"")</f>
        <v>Graduate</v>
      </c>
      <c r="G181" s="16" t="s">
        <v>149</v>
      </c>
      <c r="H181" s="16" t="str">
        <f>IFERROR(INDEX(competency_model!$C$2:$C$25,MATCH(G181,competency_model!$A$2:$A$25,0)),"")</f>
        <v>Data Analysis</v>
      </c>
      <c r="I181" s="16" t="str">
        <f>IFERROR(INDEX(competency_model!$D$2:$D$25,MATCH(G181,competency_model!$A$2:$A$25,0)),"")</f>
        <v>Python Data Cleaning</v>
      </c>
      <c r="J181" s="16">
        <f>IFERROR(INDEX(competency_model!$F$2:$F$25,MATCH(G181,competency_model!$A$2:$A$25,0)),"")</f>
        <v>4</v>
      </c>
      <c r="K181" s="16" t="str">
        <f>IFERROR(INDEX(competency_model!$G$2:$G$25,MATCH(G181,competency_model!$A$2:$A$25,0)),"")</f>
        <v>High</v>
      </c>
      <c r="L181" s="21">
        <v>4</v>
      </c>
      <c r="M181" s="21">
        <f t="shared" si="12"/>
        <v>0</v>
      </c>
      <c r="N181" s="16" t="str">
        <f t="shared" si="13"/>
        <v>No Gap</v>
      </c>
      <c r="O181" s="21">
        <f t="shared" si="14"/>
        <v>3</v>
      </c>
      <c r="P181" s="21">
        <f t="shared" si="15"/>
        <v>0</v>
      </c>
      <c r="Q181" s="16" t="str">
        <f t="shared" si="16"/>
        <v>Ready</v>
      </c>
      <c r="R181" s="16" t="s">
        <v>228</v>
      </c>
      <c r="S181" s="23">
        <v>46069.092745462964</v>
      </c>
      <c r="T181" s="25">
        <f t="shared" ca="1" si="17"/>
        <v>132.90725453703635</v>
      </c>
      <c r="U181" s="16" t="s">
        <v>223</v>
      </c>
      <c r="V181" s="16"/>
      <c r="W181" s="6" t="str">
        <f ca="1">IF(R181="Missing","Missing evidence",IF(T181&gt;365,"Stale assessment",IF(COUNTIFS($B$2:$B$264,B181,$G$2:$G$264,G181)&gt;1,"Duplicate competency record",IF(INDEX(employees!$H$2:$H$37,MATCH(B181,employees!$A$2:$A$37,0))="Inactive","Inactive account","OK"))))</f>
        <v>OK</v>
      </c>
    </row>
    <row r="182" spans="1:23" ht="15" customHeight="1">
      <c r="A182" s="5" t="s">
        <v>411</v>
      </c>
      <c r="B182" s="16" t="s">
        <v>116</v>
      </c>
      <c r="C182" s="16" t="str">
        <f>IFERROR(INDEX(employees!$B$2:$B$37,MATCH(B182,employees!$A$2:$A$37,0)),"")</f>
        <v>Casey Khan</v>
      </c>
      <c r="D182" s="16" t="str">
        <f>IFERROR(INDEX(employees!$C$2:$C$37,MATCH(B182,employees!$A$2:$A$37,0)),"")</f>
        <v>HVDC</v>
      </c>
      <c r="E182" s="16" t="str">
        <f>IFERROR(INDEX(employees!$D$2:$D$37,MATCH(B182,employees!$A$2:$A$37,0)),"")</f>
        <v>Software Engineering</v>
      </c>
      <c r="F182" s="16" t="str">
        <f>IFERROR(INDEX(employees!$E$2:$E$37,MATCH(B182,employees!$A$2:$A$37,0)),"")</f>
        <v>Graduate</v>
      </c>
      <c r="G182" s="16" t="s">
        <v>163</v>
      </c>
      <c r="H182" s="16" t="str">
        <f>IFERROR(INDEX(competency_model!$C$2:$C$25,MATCH(G182,competency_model!$A$2:$A$25,0)),"")</f>
        <v>Engineering Documentation</v>
      </c>
      <c r="I182" s="16" t="str">
        <f>IFERROR(INDEX(competency_model!$D$2:$D$25,MATCH(G182,competency_model!$A$2:$A$25,0)),"")</f>
        <v>Technical Documentation</v>
      </c>
      <c r="J182" s="16">
        <f>IFERROR(INDEX(competency_model!$F$2:$F$25,MATCH(G182,competency_model!$A$2:$A$25,0)),"")</f>
        <v>4</v>
      </c>
      <c r="K182" s="16" t="str">
        <f>IFERROR(INDEX(competency_model!$G$2:$G$25,MATCH(G182,competency_model!$A$2:$A$25,0)),"")</f>
        <v>High</v>
      </c>
      <c r="L182" s="21">
        <v>2</v>
      </c>
      <c r="M182" s="21">
        <f t="shared" si="12"/>
        <v>2</v>
      </c>
      <c r="N182" s="16" t="str">
        <f t="shared" si="13"/>
        <v>Moderate</v>
      </c>
      <c r="O182" s="21">
        <f t="shared" si="14"/>
        <v>3</v>
      </c>
      <c r="P182" s="21">
        <f t="shared" si="15"/>
        <v>6</v>
      </c>
      <c r="Q182" s="16" t="str">
        <f t="shared" si="16"/>
        <v>Development Needed</v>
      </c>
      <c r="R182" s="16" t="s">
        <v>222</v>
      </c>
      <c r="S182" s="23">
        <v>45739.394205671299</v>
      </c>
      <c r="T182" s="25">
        <f t="shared" ca="1" si="17"/>
        <v>462.60579432870145</v>
      </c>
      <c r="U182" s="16" t="s">
        <v>229</v>
      </c>
      <c r="V182" s="16" t="s">
        <v>233</v>
      </c>
      <c r="W182" s="6" t="str">
        <f>IF(R182="Missing","Missing evidence",IF(T182&gt;365,"Stale assessment",IF(COUNTIFS($B$2:$B$264,B182,$G$2:$G$264,G182)&gt;1,"Duplicate competency record",IF(INDEX(employees!$H$2:$H$37,MATCH(B182,employees!$A$2:$A$37,0))="Inactive","Inactive account","OK"))))</f>
        <v>Missing evidence</v>
      </c>
    </row>
    <row r="183" spans="1:23" ht="15" customHeight="1">
      <c r="A183" s="5" t="s">
        <v>412</v>
      </c>
      <c r="B183" s="16" t="s">
        <v>118</v>
      </c>
      <c r="C183" s="16" t="str">
        <f>IFERROR(INDEX(employees!$B$2:$B$37,MATCH(B183,employees!$A$2:$A$37,0)),"")</f>
        <v>Avery Evans</v>
      </c>
      <c r="D183" s="16" t="str">
        <f>IFERROR(INDEX(employees!$C$2:$C$37,MATCH(B183,employees!$A$2:$A$37,0)),"")</f>
        <v>Protection &amp; Control</v>
      </c>
      <c r="E183" s="16" t="str">
        <f>IFERROR(INDEX(employees!$D$2:$D$37,MATCH(B183,employees!$A$2:$A$37,0)),"")</f>
        <v>Engineering Management</v>
      </c>
      <c r="F183" s="16" t="str">
        <f>IFERROR(INDEX(employees!$E$2:$E$37,MATCH(B183,employees!$A$2:$A$37,0)),"")</f>
        <v>Senior Engineer</v>
      </c>
      <c r="G183" s="16" t="s">
        <v>194</v>
      </c>
      <c r="H183" s="16" t="str">
        <f>IFERROR(INDEX(competency_model!$C$2:$C$25,MATCH(G183,competency_model!$A$2:$A$25,0)),"")</f>
        <v>Competency Systems</v>
      </c>
      <c r="I183" s="16" t="str">
        <f>IFERROR(INDEX(competency_model!$D$2:$D$25,MATCH(G183,competency_model!$A$2:$A$25,0)),"")</f>
        <v>Competency Model Maintenance</v>
      </c>
      <c r="J183" s="16">
        <f>IFERROR(INDEX(competency_model!$F$2:$F$25,MATCH(G183,competency_model!$A$2:$A$25,0)),"")</f>
        <v>3</v>
      </c>
      <c r="K183" s="16" t="str">
        <f>IFERROR(INDEX(competency_model!$G$2:$G$25,MATCH(G183,competency_model!$A$2:$A$25,0)),"")</f>
        <v>High</v>
      </c>
      <c r="L183" s="21">
        <v>2</v>
      </c>
      <c r="M183" s="21">
        <f t="shared" si="12"/>
        <v>1</v>
      </c>
      <c r="N183" s="16" t="str">
        <f t="shared" si="13"/>
        <v>Minor</v>
      </c>
      <c r="O183" s="21">
        <f t="shared" si="14"/>
        <v>3</v>
      </c>
      <c r="P183" s="21">
        <f t="shared" si="15"/>
        <v>3</v>
      </c>
      <c r="Q183" s="16" t="str">
        <f t="shared" si="16"/>
        <v>Development Needed</v>
      </c>
      <c r="R183" s="16" t="s">
        <v>225</v>
      </c>
      <c r="S183" s="23">
        <v>46005.310973819447</v>
      </c>
      <c r="T183" s="25">
        <f t="shared" ca="1" si="17"/>
        <v>196.6890261805529</v>
      </c>
      <c r="U183" s="16" t="s">
        <v>223</v>
      </c>
      <c r="V183" s="16" t="s">
        <v>239</v>
      </c>
      <c r="W183" s="6" t="str">
        <f ca="1">IF(R183="Missing","Missing evidence",IF(T183&gt;365,"Stale assessment",IF(COUNTIFS($B$2:$B$264,B183,$G$2:$G$264,G183)&gt;1,"Duplicate competency record",IF(INDEX(employees!$H$2:$H$37,MATCH(B183,employees!$A$2:$A$37,0))="Inactive","Inactive account","OK"))))</f>
        <v>OK</v>
      </c>
    </row>
    <row r="184" spans="1:23" ht="15" customHeight="1">
      <c r="A184" s="5" t="s">
        <v>413</v>
      </c>
      <c r="B184" s="16" t="s">
        <v>118</v>
      </c>
      <c r="C184" s="16" t="str">
        <f>IFERROR(INDEX(employees!$B$2:$B$37,MATCH(B184,employees!$A$2:$A$37,0)),"")</f>
        <v>Avery Evans</v>
      </c>
      <c r="D184" s="16" t="str">
        <f>IFERROR(INDEX(employees!$C$2:$C$37,MATCH(B184,employees!$A$2:$A$37,0)),"")</f>
        <v>Protection &amp; Control</v>
      </c>
      <c r="E184" s="16" t="str">
        <f>IFERROR(INDEX(employees!$D$2:$D$37,MATCH(B184,employees!$A$2:$A$37,0)),"")</f>
        <v>Engineering Management</v>
      </c>
      <c r="F184" s="16" t="str">
        <f>IFERROR(INDEX(employees!$E$2:$E$37,MATCH(B184,employees!$A$2:$A$37,0)),"")</f>
        <v>Senior Engineer</v>
      </c>
      <c r="G184" s="16" t="s">
        <v>197</v>
      </c>
      <c r="H184" s="16" t="str">
        <f>IFERROR(INDEX(competency_model!$C$2:$C$25,MATCH(G184,competency_model!$A$2:$A$25,0)),"")</f>
        <v>User Support</v>
      </c>
      <c r="I184" s="16" t="str">
        <f>IFERROR(INDEX(competency_model!$D$2:$D$25,MATCH(G184,competency_model!$A$2:$A$25,0)),"")</f>
        <v>Competency Tool User Support</v>
      </c>
      <c r="J184" s="16">
        <f>IFERROR(INDEX(competency_model!$F$2:$F$25,MATCH(G184,competency_model!$A$2:$A$25,0)),"")</f>
        <v>3</v>
      </c>
      <c r="K184" s="16" t="str">
        <f>IFERROR(INDEX(competency_model!$G$2:$G$25,MATCH(G184,competency_model!$A$2:$A$25,0)),"")</f>
        <v>Medium</v>
      </c>
      <c r="L184" s="21">
        <v>3</v>
      </c>
      <c r="M184" s="21">
        <f t="shared" si="12"/>
        <v>0</v>
      </c>
      <c r="N184" s="16" t="str">
        <f t="shared" si="13"/>
        <v>No Gap</v>
      </c>
      <c r="O184" s="21">
        <f t="shared" si="14"/>
        <v>2</v>
      </c>
      <c r="P184" s="21">
        <f t="shared" si="15"/>
        <v>0</v>
      </c>
      <c r="Q184" s="16" t="str">
        <f t="shared" si="16"/>
        <v>Ready</v>
      </c>
      <c r="R184" s="16" t="s">
        <v>228</v>
      </c>
      <c r="S184" s="23">
        <v>46002.285938564812</v>
      </c>
      <c r="T184" s="25">
        <f t="shared" ca="1" si="17"/>
        <v>199.71406143518834</v>
      </c>
      <c r="U184" s="16" t="s">
        <v>223</v>
      </c>
      <c r="V184" s="16"/>
      <c r="W184" s="6" t="str">
        <f ca="1">IF(R184="Missing","Missing evidence",IF(T184&gt;365,"Stale assessment",IF(COUNTIFS($B$2:$B$264,B184,$G$2:$G$264,G184)&gt;1,"Duplicate competency record",IF(INDEX(employees!$H$2:$H$37,MATCH(B184,employees!$A$2:$A$37,0))="Inactive","Inactive account","OK"))))</f>
        <v>OK</v>
      </c>
    </row>
    <row r="185" spans="1:23" ht="15" customHeight="1">
      <c r="A185" s="5" t="s">
        <v>414</v>
      </c>
      <c r="B185" s="16" t="s">
        <v>118</v>
      </c>
      <c r="C185" s="16" t="str">
        <f>IFERROR(INDEX(employees!$B$2:$B$37,MATCH(B185,employees!$A$2:$A$37,0)),"")</f>
        <v>Avery Evans</v>
      </c>
      <c r="D185" s="16" t="str">
        <f>IFERROR(INDEX(employees!$C$2:$C$37,MATCH(B185,employees!$A$2:$A$37,0)),"")</f>
        <v>Protection &amp; Control</v>
      </c>
      <c r="E185" s="16" t="str">
        <f>IFERROR(INDEX(employees!$D$2:$D$37,MATCH(B185,employees!$A$2:$A$37,0)),"")</f>
        <v>Engineering Management</v>
      </c>
      <c r="F185" s="16" t="str">
        <f>IFERROR(INDEX(employees!$E$2:$E$37,MATCH(B185,employees!$A$2:$A$37,0)),"")</f>
        <v>Senior Engineer</v>
      </c>
      <c r="G185" s="16" t="s">
        <v>175</v>
      </c>
      <c r="H185" s="16" t="str">
        <f>IFERROR(INDEX(competency_model!$C$2:$C$25,MATCH(G185,competency_model!$A$2:$A$25,0)),"")</f>
        <v>Safety / Compliance</v>
      </c>
      <c r="I185" s="16" t="str">
        <f>IFERROR(INDEX(competency_model!$D$2:$D$25,MATCH(G185,competency_model!$A$2:$A$25,0)),"")</f>
        <v>Engineering Safety Awareness</v>
      </c>
      <c r="J185" s="16">
        <f>IFERROR(INDEX(competency_model!$F$2:$F$25,MATCH(G185,competency_model!$A$2:$A$25,0)),"")</f>
        <v>4</v>
      </c>
      <c r="K185" s="16" t="str">
        <f>IFERROR(INDEX(competency_model!$G$2:$G$25,MATCH(G185,competency_model!$A$2:$A$25,0)),"")</f>
        <v>High</v>
      </c>
      <c r="L185" s="21">
        <v>1</v>
      </c>
      <c r="M185" s="21">
        <f t="shared" si="12"/>
        <v>3</v>
      </c>
      <c r="N185" s="16" t="str">
        <f t="shared" si="13"/>
        <v>Critical</v>
      </c>
      <c r="O185" s="21">
        <f t="shared" si="14"/>
        <v>3</v>
      </c>
      <c r="P185" s="21">
        <f t="shared" si="15"/>
        <v>9</v>
      </c>
      <c r="Q185" s="16" t="str">
        <f t="shared" si="16"/>
        <v>Development Needed</v>
      </c>
      <c r="R185" s="16" t="s">
        <v>222</v>
      </c>
      <c r="S185" s="23">
        <v>46145.819629664351</v>
      </c>
      <c r="T185" s="25">
        <f t="shared" ca="1" si="17"/>
        <v>56.180370335649059</v>
      </c>
      <c r="U185" s="16" t="s">
        <v>229</v>
      </c>
      <c r="V185" s="16" t="s">
        <v>233</v>
      </c>
      <c r="W185" s="6" t="str">
        <f>IF(R185="Missing","Missing evidence",IF(T185&gt;365,"Stale assessment",IF(COUNTIFS($B$2:$B$264,B185,$G$2:$G$264,G185)&gt;1,"Duplicate competency record",IF(INDEX(employees!$H$2:$H$37,MATCH(B185,employees!$A$2:$A$37,0))="Inactive","Inactive account","OK"))))</f>
        <v>Missing evidence</v>
      </c>
    </row>
    <row r="186" spans="1:23" ht="15" customHeight="1">
      <c r="A186" s="5" t="s">
        <v>415</v>
      </c>
      <c r="B186" s="16" t="s">
        <v>118</v>
      </c>
      <c r="C186" s="16" t="str">
        <f>IFERROR(INDEX(employees!$B$2:$B$37,MATCH(B186,employees!$A$2:$A$37,0)),"")</f>
        <v>Avery Evans</v>
      </c>
      <c r="D186" s="16" t="str">
        <f>IFERROR(INDEX(employees!$C$2:$C$37,MATCH(B186,employees!$A$2:$A$37,0)),"")</f>
        <v>Protection &amp; Control</v>
      </c>
      <c r="E186" s="16" t="str">
        <f>IFERROR(INDEX(employees!$D$2:$D$37,MATCH(B186,employees!$A$2:$A$37,0)),"")</f>
        <v>Engineering Management</v>
      </c>
      <c r="F186" s="16" t="str">
        <f>IFERROR(INDEX(employees!$E$2:$E$37,MATCH(B186,employees!$A$2:$A$37,0)),"")</f>
        <v>Senior Engineer</v>
      </c>
      <c r="G186" s="16" t="s">
        <v>163</v>
      </c>
      <c r="H186" s="16" t="str">
        <f>IFERROR(INDEX(competency_model!$C$2:$C$25,MATCH(G186,competency_model!$A$2:$A$25,0)),"")</f>
        <v>Engineering Documentation</v>
      </c>
      <c r="I186" s="16" t="str">
        <f>IFERROR(INDEX(competency_model!$D$2:$D$25,MATCH(G186,competency_model!$A$2:$A$25,0)),"")</f>
        <v>Technical Documentation</v>
      </c>
      <c r="J186" s="16">
        <f>IFERROR(INDEX(competency_model!$F$2:$F$25,MATCH(G186,competency_model!$A$2:$A$25,0)),"")</f>
        <v>4</v>
      </c>
      <c r="K186" s="16" t="str">
        <f>IFERROR(INDEX(competency_model!$G$2:$G$25,MATCH(G186,competency_model!$A$2:$A$25,0)),"")</f>
        <v>High</v>
      </c>
      <c r="L186" s="21">
        <v>1</v>
      </c>
      <c r="M186" s="21">
        <f t="shared" si="12"/>
        <v>3</v>
      </c>
      <c r="N186" s="16" t="str">
        <f t="shared" si="13"/>
        <v>Critical</v>
      </c>
      <c r="O186" s="21">
        <f t="shared" si="14"/>
        <v>3</v>
      </c>
      <c r="P186" s="21">
        <f t="shared" si="15"/>
        <v>9</v>
      </c>
      <c r="Q186" s="16" t="str">
        <f t="shared" si="16"/>
        <v>Development Needed</v>
      </c>
      <c r="R186" s="16" t="s">
        <v>225</v>
      </c>
      <c r="S186" s="23">
        <v>46118.637319606481</v>
      </c>
      <c r="T186" s="25">
        <f t="shared" ca="1" si="17"/>
        <v>83.362680393518531</v>
      </c>
      <c r="U186" s="16" t="s">
        <v>229</v>
      </c>
      <c r="V186" s="16" t="s">
        <v>231</v>
      </c>
      <c r="W186" s="6" t="str">
        <f ca="1">IF(R186="Missing","Missing evidence",IF(T186&gt;365,"Stale assessment",IF(COUNTIFS($B$2:$B$264,B186,$G$2:$G$264,G186)&gt;1,"Duplicate competency record",IF(INDEX(employees!$H$2:$H$37,MATCH(B186,employees!$A$2:$A$37,0))="Inactive","Inactive account","OK"))))</f>
        <v>OK</v>
      </c>
    </row>
    <row r="187" spans="1:23" ht="15" customHeight="1">
      <c r="A187" s="5" t="s">
        <v>416</v>
      </c>
      <c r="B187" s="16" t="s">
        <v>118</v>
      </c>
      <c r="C187" s="16" t="str">
        <f>IFERROR(INDEX(employees!$B$2:$B$37,MATCH(B187,employees!$A$2:$A$37,0)),"")</f>
        <v>Avery Evans</v>
      </c>
      <c r="D187" s="16" t="str">
        <f>IFERROR(INDEX(employees!$C$2:$C$37,MATCH(B187,employees!$A$2:$A$37,0)),"")</f>
        <v>Protection &amp; Control</v>
      </c>
      <c r="E187" s="16" t="str">
        <f>IFERROR(INDEX(employees!$D$2:$D$37,MATCH(B187,employees!$A$2:$A$37,0)),"")</f>
        <v>Engineering Management</v>
      </c>
      <c r="F187" s="16" t="str">
        <f>IFERROR(INDEX(employees!$E$2:$E$37,MATCH(B187,employees!$A$2:$A$37,0)),"")</f>
        <v>Senior Engineer</v>
      </c>
      <c r="G187" s="16" t="s">
        <v>178</v>
      </c>
      <c r="H187" s="16" t="str">
        <f>IFERROR(INDEX(competency_model!$C$2:$C$25,MATCH(G187,competency_model!$A$2:$A$25,0)),"")</f>
        <v>Stakeholder Communication</v>
      </c>
      <c r="I187" s="16" t="str">
        <f>IFERROR(INDEX(competency_model!$D$2:$D$25,MATCH(G187,competency_model!$A$2:$A$25,0)),"")</f>
        <v>Non-Technical Explanation</v>
      </c>
      <c r="J187" s="16">
        <f>IFERROR(INDEX(competency_model!$F$2:$F$25,MATCH(G187,competency_model!$A$2:$A$25,0)),"")</f>
        <v>3</v>
      </c>
      <c r="K187" s="16" t="str">
        <f>IFERROR(INDEX(competency_model!$G$2:$G$25,MATCH(G187,competency_model!$A$2:$A$25,0)),"")</f>
        <v>Medium</v>
      </c>
      <c r="L187" s="21">
        <v>1</v>
      </c>
      <c r="M187" s="21">
        <f t="shared" si="12"/>
        <v>2</v>
      </c>
      <c r="N187" s="16" t="str">
        <f t="shared" si="13"/>
        <v>Moderate</v>
      </c>
      <c r="O187" s="21">
        <f t="shared" si="14"/>
        <v>2</v>
      </c>
      <c r="P187" s="21">
        <f t="shared" si="15"/>
        <v>4</v>
      </c>
      <c r="Q187" s="16" t="str">
        <f t="shared" si="16"/>
        <v>Development Needed</v>
      </c>
      <c r="R187" s="16" t="s">
        <v>228</v>
      </c>
      <c r="S187" s="23">
        <v>46025.409521145833</v>
      </c>
      <c r="T187" s="25">
        <f t="shared" ca="1" si="17"/>
        <v>176.59047885416658</v>
      </c>
      <c r="U187" s="16" t="s">
        <v>223</v>
      </c>
      <c r="V187" s="16" t="s">
        <v>226</v>
      </c>
      <c r="W187" s="6" t="str">
        <f ca="1">IF(R187="Missing","Missing evidence",IF(T187&gt;365,"Stale assessment",IF(COUNTIFS($B$2:$B$264,B187,$G$2:$G$264,G187)&gt;1,"Duplicate competency record",IF(INDEX(employees!$H$2:$H$37,MATCH(B187,employees!$A$2:$A$37,0))="Inactive","Inactive account","OK"))))</f>
        <v>OK</v>
      </c>
    </row>
    <row r="188" spans="1:23" ht="15" customHeight="1">
      <c r="A188" s="5" t="s">
        <v>417</v>
      </c>
      <c r="B188" s="16" t="s">
        <v>118</v>
      </c>
      <c r="C188" s="16" t="str">
        <f>IFERROR(INDEX(employees!$B$2:$B$37,MATCH(B188,employees!$A$2:$A$37,0)),"")</f>
        <v>Avery Evans</v>
      </c>
      <c r="D188" s="16" t="str">
        <f>IFERROR(INDEX(employees!$C$2:$C$37,MATCH(B188,employees!$A$2:$A$37,0)),"")</f>
        <v>Protection &amp; Control</v>
      </c>
      <c r="E188" s="16" t="str">
        <f>IFERROR(INDEX(employees!$D$2:$D$37,MATCH(B188,employees!$A$2:$A$37,0)),"")</f>
        <v>Engineering Management</v>
      </c>
      <c r="F188" s="16" t="str">
        <f>IFERROR(INDEX(employees!$E$2:$E$37,MATCH(B188,employees!$A$2:$A$37,0)),"")</f>
        <v>Senior Engineer</v>
      </c>
      <c r="G188" s="16" t="s">
        <v>160</v>
      </c>
      <c r="H188" s="16" t="str">
        <f>IFERROR(INDEX(competency_model!$C$2:$C$25,MATCH(G188,competency_model!$A$2:$A$25,0)),"")</f>
        <v>PowerPoint Presentation</v>
      </c>
      <c r="I188" s="16" t="str">
        <f>IFERROR(INDEX(competency_model!$D$2:$D$25,MATCH(G188,competency_model!$A$2:$A$25,0)),"")</f>
        <v>Leadership Storytelling</v>
      </c>
      <c r="J188" s="16">
        <f>IFERROR(INDEX(competency_model!$F$2:$F$25,MATCH(G188,competency_model!$A$2:$A$25,0)),"")</f>
        <v>3</v>
      </c>
      <c r="K188" s="16" t="str">
        <f>IFERROR(INDEX(competency_model!$G$2:$G$25,MATCH(G188,competency_model!$A$2:$A$25,0)),"")</f>
        <v>Medium</v>
      </c>
      <c r="L188" s="21">
        <v>1</v>
      </c>
      <c r="M188" s="21">
        <f t="shared" si="12"/>
        <v>2</v>
      </c>
      <c r="N188" s="16" t="str">
        <f t="shared" si="13"/>
        <v>Moderate</v>
      </c>
      <c r="O188" s="21">
        <f t="shared" si="14"/>
        <v>2</v>
      </c>
      <c r="P188" s="21">
        <f t="shared" si="15"/>
        <v>4</v>
      </c>
      <c r="Q188" s="16" t="str">
        <f t="shared" si="16"/>
        <v>Development Needed</v>
      </c>
      <c r="R188" s="16" t="s">
        <v>228</v>
      </c>
      <c r="S188" s="23">
        <v>45666.041823912034</v>
      </c>
      <c r="T188" s="25">
        <f t="shared" ca="1" si="17"/>
        <v>535.95817608796642</v>
      </c>
      <c r="U188" s="16" t="s">
        <v>242</v>
      </c>
      <c r="V188" s="16" t="s">
        <v>233</v>
      </c>
      <c r="W188" s="6" t="str">
        <f ca="1">IF(R188="Missing","Missing evidence",IF(T188&gt;365,"Stale assessment",IF(COUNTIFS($B$2:$B$264,B188,$G$2:$G$264,G188)&gt;1,"Duplicate competency record",IF(INDEX(employees!$H$2:$H$37,MATCH(B188,employees!$A$2:$A$37,0))="Inactive","Inactive account","OK"))))</f>
        <v>Stale assessment</v>
      </c>
    </row>
    <row r="189" spans="1:23" ht="15" customHeight="1">
      <c r="A189" s="5" t="s">
        <v>418</v>
      </c>
      <c r="B189" s="16" t="s">
        <v>118</v>
      </c>
      <c r="C189" s="16" t="str">
        <f>IFERROR(INDEX(employees!$B$2:$B$37,MATCH(B189,employees!$A$2:$A$37,0)),"")</f>
        <v>Avery Evans</v>
      </c>
      <c r="D189" s="16" t="str">
        <f>IFERROR(INDEX(employees!$C$2:$C$37,MATCH(B189,employees!$A$2:$A$37,0)),"")</f>
        <v>Protection &amp; Control</v>
      </c>
      <c r="E189" s="16" t="str">
        <f>IFERROR(INDEX(employees!$D$2:$D$37,MATCH(B189,employees!$A$2:$A$37,0)),"")</f>
        <v>Engineering Management</v>
      </c>
      <c r="F189" s="16" t="str">
        <f>IFERROR(INDEX(employees!$E$2:$E$37,MATCH(B189,employees!$A$2:$A$37,0)),"")</f>
        <v>Senior Engineer</v>
      </c>
      <c r="G189" s="16" t="s">
        <v>154</v>
      </c>
      <c r="H189" s="16" t="str">
        <f>IFERROR(INDEX(competency_model!$C$2:$C$25,MATCH(G189,competency_model!$A$2:$A$25,0)),"")</f>
        <v>Excel Reporting</v>
      </c>
      <c r="I189" s="16" t="str">
        <f>IFERROR(INDEX(competency_model!$D$2:$D$25,MATCH(G189,competency_model!$A$2:$A$25,0)),"")</f>
        <v>PivotTables and Power Query</v>
      </c>
      <c r="J189" s="16">
        <f>IFERROR(INDEX(competency_model!$F$2:$F$25,MATCH(G189,competency_model!$A$2:$A$25,0)),"")</f>
        <v>4</v>
      </c>
      <c r="K189" s="16" t="str">
        <f>IFERROR(INDEX(competency_model!$G$2:$G$25,MATCH(G189,competency_model!$A$2:$A$25,0)),"")</f>
        <v>High</v>
      </c>
      <c r="L189" s="21">
        <v>1</v>
      </c>
      <c r="M189" s="21">
        <f t="shared" si="12"/>
        <v>3</v>
      </c>
      <c r="N189" s="16" t="str">
        <f t="shared" si="13"/>
        <v>Critical</v>
      </c>
      <c r="O189" s="21">
        <f t="shared" si="14"/>
        <v>3</v>
      </c>
      <c r="P189" s="21">
        <f t="shared" si="15"/>
        <v>9</v>
      </c>
      <c r="Q189" s="16" t="str">
        <f t="shared" si="16"/>
        <v>Development Needed</v>
      </c>
      <c r="R189" s="16" t="s">
        <v>225</v>
      </c>
      <c r="S189" s="23">
        <v>46119.078268622688</v>
      </c>
      <c r="T189" s="25">
        <f t="shared" ca="1" si="17"/>
        <v>82.921731377311517</v>
      </c>
      <c r="U189" s="16" t="s">
        <v>223</v>
      </c>
      <c r="V189" s="16" t="s">
        <v>239</v>
      </c>
      <c r="W189" s="6" t="str">
        <f ca="1">IF(R189="Missing","Missing evidence",IF(T189&gt;365,"Stale assessment",IF(COUNTIFS($B$2:$B$264,B189,$G$2:$G$264,G189)&gt;1,"Duplicate competency record",IF(INDEX(employees!$H$2:$H$37,MATCH(B189,employees!$A$2:$A$37,0))="Inactive","Inactive account","OK"))))</f>
        <v>OK</v>
      </c>
    </row>
    <row r="190" spans="1:23" ht="15" customHeight="1">
      <c r="A190" s="5" t="s">
        <v>419</v>
      </c>
      <c r="B190" s="16" t="s">
        <v>120</v>
      </c>
      <c r="C190" s="16" t="str">
        <f>IFERROR(INDEX(employees!$B$2:$B$37,MATCH(B190,employees!$A$2:$A$37,0)),"")</f>
        <v>Drew Singh</v>
      </c>
      <c r="D190" s="16" t="str">
        <f>IFERROR(INDEX(employees!$C$2:$C$37,MATCH(B190,employees!$A$2:$A$37,0)),"")</f>
        <v>Protection &amp; Control</v>
      </c>
      <c r="E190" s="16" t="str">
        <f>IFERROR(INDEX(employees!$D$2:$D$37,MATCH(B190,employees!$A$2:$A$37,0)),"")</f>
        <v>Software Engineering</v>
      </c>
      <c r="F190" s="16" t="str">
        <f>IFERROR(INDEX(employees!$E$2:$E$37,MATCH(B190,employees!$A$2:$A$37,0)),"")</f>
        <v>Engineer</v>
      </c>
      <c r="G190" s="16" t="s">
        <v>151</v>
      </c>
      <c r="H190" s="16" t="str">
        <f>IFERROR(INDEX(competency_model!$C$2:$C$25,MATCH(G190,competency_model!$A$2:$A$25,0)),"")</f>
        <v>Data Analysis</v>
      </c>
      <c r="I190" s="16" t="str">
        <f>IFERROR(INDEX(competency_model!$D$2:$D$25,MATCH(G190,competency_model!$A$2:$A$25,0)),"")</f>
        <v>SQL Querying</v>
      </c>
      <c r="J190" s="16">
        <f>IFERROR(INDEX(competency_model!$F$2:$F$25,MATCH(G190,competency_model!$A$2:$A$25,0)),"")</f>
        <v>3</v>
      </c>
      <c r="K190" s="16" t="str">
        <f>IFERROR(INDEX(competency_model!$G$2:$G$25,MATCH(G190,competency_model!$A$2:$A$25,0)),"")</f>
        <v>Medium</v>
      </c>
      <c r="L190" s="21">
        <v>1</v>
      </c>
      <c r="M190" s="21">
        <f t="shared" si="12"/>
        <v>2</v>
      </c>
      <c r="N190" s="16" t="str">
        <f t="shared" si="13"/>
        <v>Moderate</v>
      </c>
      <c r="O190" s="21">
        <f t="shared" si="14"/>
        <v>2</v>
      </c>
      <c r="P190" s="21">
        <f t="shared" si="15"/>
        <v>4</v>
      </c>
      <c r="Q190" s="16" t="str">
        <f t="shared" si="16"/>
        <v>Development Needed</v>
      </c>
      <c r="R190" s="16" t="s">
        <v>228</v>
      </c>
      <c r="S190" s="23">
        <v>46136.73562269676</v>
      </c>
      <c r="T190" s="25">
        <f t="shared" ca="1" si="17"/>
        <v>65.264377303239598</v>
      </c>
      <c r="U190" s="16" t="s">
        <v>223</v>
      </c>
      <c r="V190" s="16" t="s">
        <v>233</v>
      </c>
      <c r="W190" s="6" t="str">
        <f ca="1">IF(R190="Missing","Missing evidence",IF(T190&gt;365,"Stale assessment",IF(COUNTIFS($B$2:$B$264,B190,$G$2:$G$264,G190)&gt;1,"Duplicate competency record",IF(INDEX(employees!$H$2:$H$37,MATCH(B190,employees!$A$2:$A$37,0))="Inactive","Inactive account","OK"))))</f>
        <v>OK</v>
      </c>
    </row>
    <row r="191" spans="1:23" ht="15" customHeight="1">
      <c r="A191" s="5" t="s">
        <v>420</v>
      </c>
      <c r="B191" s="16" t="s">
        <v>120</v>
      </c>
      <c r="C191" s="16" t="str">
        <f>IFERROR(INDEX(employees!$B$2:$B$37,MATCH(B191,employees!$A$2:$A$37,0)),"")</f>
        <v>Drew Singh</v>
      </c>
      <c r="D191" s="16" t="str">
        <f>IFERROR(INDEX(employees!$C$2:$C$37,MATCH(B191,employees!$A$2:$A$37,0)),"")</f>
        <v>Protection &amp; Control</v>
      </c>
      <c r="E191" s="16" t="str">
        <f>IFERROR(INDEX(employees!$D$2:$D$37,MATCH(B191,employees!$A$2:$A$37,0)),"")</f>
        <v>Software Engineering</v>
      </c>
      <c r="F191" s="16" t="str">
        <f>IFERROR(INDEX(employees!$E$2:$E$37,MATCH(B191,employees!$A$2:$A$37,0)),"")</f>
        <v>Engineer</v>
      </c>
      <c r="G191" s="16" t="s">
        <v>197</v>
      </c>
      <c r="H191" s="16" t="str">
        <f>IFERROR(INDEX(competency_model!$C$2:$C$25,MATCH(G191,competency_model!$A$2:$A$25,0)),"")</f>
        <v>User Support</v>
      </c>
      <c r="I191" s="16" t="str">
        <f>IFERROR(INDEX(competency_model!$D$2:$D$25,MATCH(G191,competency_model!$A$2:$A$25,0)),"")</f>
        <v>Competency Tool User Support</v>
      </c>
      <c r="J191" s="16">
        <f>IFERROR(INDEX(competency_model!$F$2:$F$25,MATCH(G191,competency_model!$A$2:$A$25,0)),"")</f>
        <v>3</v>
      </c>
      <c r="K191" s="16" t="str">
        <f>IFERROR(INDEX(competency_model!$G$2:$G$25,MATCH(G191,competency_model!$A$2:$A$25,0)),"")</f>
        <v>Medium</v>
      </c>
      <c r="L191" s="21">
        <v>1</v>
      </c>
      <c r="M191" s="21">
        <f t="shared" si="12"/>
        <v>2</v>
      </c>
      <c r="N191" s="16" t="str">
        <f t="shared" si="13"/>
        <v>Moderate</v>
      </c>
      <c r="O191" s="21">
        <f t="shared" si="14"/>
        <v>2</v>
      </c>
      <c r="P191" s="21">
        <f t="shared" si="15"/>
        <v>4</v>
      </c>
      <c r="Q191" s="16" t="str">
        <f t="shared" si="16"/>
        <v>Development Needed</v>
      </c>
      <c r="R191" s="16" t="s">
        <v>225</v>
      </c>
      <c r="S191" s="23">
        <v>46041.545433587962</v>
      </c>
      <c r="T191" s="25">
        <f t="shared" ca="1" si="17"/>
        <v>160.45456641203782</v>
      </c>
      <c r="U191" s="16" t="s">
        <v>242</v>
      </c>
      <c r="V191" s="16" t="s">
        <v>226</v>
      </c>
      <c r="W191" s="6" t="str">
        <f ca="1">IF(R191="Missing","Missing evidence",IF(T191&gt;365,"Stale assessment",IF(COUNTIFS($B$2:$B$264,B191,$G$2:$G$264,G191)&gt;1,"Duplicate competency record",IF(INDEX(employees!$H$2:$H$37,MATCH(B191,employees!$A$2:$A$37,0))="Inactive","Inactive account","OK"))))</f>
        <v>OK</v>
      </c>
    </row>
    <row r="192" spans="1:23" ht="15" customHeight="1">
      <c r="A192" s="5" t="s">
        <v>421</v>
      </c>
      <c r="B192" s="16" t="s">
        <v>120</v>
      </c>
      <c r="C192" s="16" t="str">
        <f>IFERROR(INDEX(employees!$B$2:$B$37,MATCH(B192,employees!$A$2:$A$37,0)),"")</f>
        <v>Drew Singh</v>
      </c>
      <c r="D192" s="16" t="str">
        <f>IFERROR(INDEX(employees!$C$2:$C$37,MATCH(B192,employees!$A$2:$A$37,0)),"")</f>
        <v>Protection &amp; Control</v>
      </c>
      <c r="E192" s="16" t="str">
        <f>IFERROR(INDEX(employees!$D$2:$D$37,MATCH(B192,employees!$A$2:$A$37,0)),"")</f>
        <v>Software Engineering</v>
      </c>
      <c r="F192" s="16" t="str">
        <f>IFERROR(INDEX(employees!$E$2:$E$37,MATCH(B192,employees!$A$2:$A$37,0)),"")</f>
        <v>Engineer</v>
      </c>
      <c r="G192" s="16" t="s">
        <v>183</v>
      </c>
      <c r="H192" s="16" t="str">
        <f>IFERROR(INDEX(competency_model!$C$2:$C$25,MATCH(G192,competency_model!$A$2:$A$25,0)),"")</f>
        <v>Python</v>
      </c>
      <c r="I192" s="16" t="str">
        <f>IFERROR(INDEX(competency_model!$D$2:$D$25,MATCH(G192,competency_model!$A$2:$A$25,0)),"")</f>
        <v>Automation Scripting</v>
      </c>
      <c r="J192" s="16">
        <f>IFERROR(INDEX(competency_model!$F$2:$F$25,MATCH(G192,competency_model!$A$2:$A$25,0)),"")</f>
        <v>3</v>
      </c>
      <c r="K192" s="16" t="str">
        <f>IFERROR(INDEX(competency_model!$G$2:$G$25,MATCH(G192,competency_model!$A$2:$A$25,0)),"")</f>
        <v>Medium</v>
      </c>
      <c r="L192" s="21">
        <v>2</v>
      </c>
      <c r="M192" s="21">
        <f t="shared" si="12"/>
        <v>1</v>
      </c>
      <c r="N192" s="16" t="str">
        <f t="shared" si="13"/>
        <v>Minor</v>
      </c>
      <c r="O192" s="21">
        <f t="shared" si="14"/>
        <v>2</v>
      </c>
      <c r="P192" s="21">
        <f t="shared" si="15"/>
        <v>2</v>
      </c>
      <c r="Q192" s="16" t="str">
        <f t="shared" si="16"/>
        <v>Development Needed</v>
      </c>
      <c r="R192" s="16" t="s">
        <v>225</v>
      </c>
      <c r="S192" s="23">
        <v>45975.110081168983</v>
      </c>
      <c r="T192" s="25">
        <f t="shared" ca="1" si="17"/>
        <v>226.88991883101698</v>
      </c>
      <c r="U192" s="16" t="s">
        <v>223</v>
      </c>
      <c r="V192" s="16"/>
      <c r="W192" s="6" t="str">
        <f ca="1">IF(R192="Missing","Missing evidence",IF(T192&gt;365,"Stale assessment",IF(COUNTIFS($B$2:$B$264,B192,$G$2:$G$264,G192)&gt;1,"Duplicate competency record",IF(INDEX(employees!$H$2:$H$37,MATCH(B192,employees!$A$2:$A$37,0))="Inactive","Inactive account","OK"))))</f>
        <v>OK</v>
      </c>
    </row>
    <row r="193" spans="1:23" ht="15" customHeight="1">
      <c r="A193" s="5" t="s">
        <v>422</v>
      </c>
      <c r="B193" s="16" t="s">
        <v>120</v>
      </c>
      <c r="C193" s="16" t="str">
        <f>IFERROR(INDEX(employees!$B$2:$B$37,MATCH(B193,employees!$A$2:$A$37,0)),"")</f>
        <v>Drew Singh</v>
      </c>
      <c r="D193" s="16" t="str">
        <f>IFERROR(INDEX(employees!$C$2:$C$37,MATCH(B193,employees!$A$2:$A$37,0)),"")</f>
        <v>Protection &amp; Control</v>
      </c>
      <c r="E193" s="16" t="str">
        <f>IFERROR(INDEX(employees!$D$2:$D$37,MATCH(B193,employees!$A$2:$A$37,0)),"")</f>
        <v>Software Engineering</v>
      </c>
      <c r="F193" s="16" t="str">
        <f>IFERROR(INDEX(employees!$E$2:$E$37,MATCH(B193,employees!$A$2:$A$37,0)),"")</f>
        <v>Engineer</v>
      </c>
      <c r="G193" s="16" t="s">
        <v>178</v>
      </c>
      <c r="H193" s="16" t="str">
        <f>IFERROR(INDEX(competency_model!$C$2:$C$25,MATCH(G193,competency_model!$A$2:$A$25,0)),"")</f>
        <v>Stakeholder Communication</v>
      </c>
      <c r="I193" s="16" t="str">
        <f>IFERROR(INDEX(competency_model!$D$2:$D$25,MATCH(G193,competency_model!$A$2:$A$25,0)),"")</f>
        <v>Non-Technical Explanation</v>
      </c>
      <c r="J193" s="16">
        <f>IFERROR(INDEX(competency_model!$F$2:$F$25,MATCH(G193,competency_model!$A$2:$A$25,0)),"")</f>
        <v>3</v>
      </c>
      <c r="K193" s="16" t="str">
        <f>IFERROR(INDEX(competency_model!$G$2:$G$25,MATCH(G193,competency_model!$A$2:$A$25,0)),"")</f>
        <v>Medium</v>
      </c>
      <c r="L193" s="21">
        <v>1</v>
      </c>
      <c r="M193" s="21">
        <f t="shared" si="12"/>
        <v>2</v>
      </c>
      <c r="N193" s="16" t="str">
        <f t="shared" si="13"/>
        <v>Moderate</v>
      </c>
      <c r="O193" s="21">
        <f t="shared" si="14"/>
        <v>2</v>
      </c>
      <c r="P193" s="21">
        <f t="shared" si="15"/>
        <v>4</v>
      </c>
      <c r="Q193" s="16" t="str">
        <f t="shared" si="16"/>
        <v>Development Needed</v>
      </c>
      <c r="R193" s="16" t="s">
        <v>228</v>
      </c>
      <c r="S193" s="23">
        <v>46107.31816855324</v>
      </c>
      <c r="T193" s="25">
        <f t="shared" ca="1" si="17"/>
        <v>94.681831446760043</v>
      </c>
      <c r="U193" s="16" t="s">
        <v>229</v>
      </c>
      <c r="V193" s="16" t="s">
        <v>226</v>
      </c>
      <c r="W193" s="6" t="str">
        <f ca="1">IF(R193="Missing","Missing evidence",IF(T193&gt;365,"Stale assessment",IF(COUNTIFS($B$2:$B$264,B193,$G$2:$G$264,G193)&gt;1,"Duplicate competency record",IF(INDEX(employees!$H$2:$H$37,MATCH(B193,employees!$A$2:$A$37,0))="Inactive","Inactive account","OK"))))</f>
        <v>OK</v>
      </c>
    </row>
    <row r="194" spans="1:23" ht="15" customHeight="1">
      <c r="A194" s="5" t="s">
        <v>423</v>
      </c>
      <c r="B194" s="16" t="s">
        <v>120</v>
      </c>
      <c r="C194" s="16" t="str">
        <f>IFERROR(INDEX(employees!$B$2:$B$37,MATCH(B194,employees!$A$2:$A$37,0)),"")</f>
        <v>Drew Singh</v>
      </c>
      <c r="D194" s="16" t="str">
        <f>IFERROR(INDEX(employees!$C$2:$C$37,MATCH(B194,employees!$A$2:$A$37,0)),"")</f>
        <v>Protection &amp; Control</v>
      </c>
      <c r="E194" s="16" t="str">
        <f>IFERROR(INDEX(employees!$D$2:$D$37,MATCH(B194,employees!$A$2:$A$37,0)),"")</f>
        <v>Software Engineering</v>
      </c>
      <c r="F194" s="16" t="str">
        <f>IFERROR(INDEX(employees!$E$2:$E$37,MATCH(B194,employees!$A$2:$A$37,0)),"")</f>
        <v>Engineer</v>
      </c>
      <c r="G194" s="16" t="s">
        <v>175</v>
      </c>
      <c r="H194" s="16" t="str">
        <f>IFERROR(INDEX(competency_model!$C$2:$C$25,MATCH(G194,competency_model!$A$2:$A$25,0)),"")</f>
        <v>Safety / Compliance</v>
      </c>
      <c r="I194" s="16" t="str">
        <f>IFERROR(INDEX(competency_model!$D$2:$D$25,MATCH(G194,competency_model!$A$2:$A$25,0)),"")</f>
        <v>Engineering Safety Awareness</v>
      </c>
      <c r="J194" s="16">
        <f>IFERROR(INDEX(competency_model!$F$2:$F$25,MATCH(G194,competency_model!$A$2:$A$25,0)),"")</f>
        <v>4</v>
      </c>
      <c r="K194" s="16" t="str">
        <f>IFERROR(INDEX(competency_model!$G$2:$G$25,MATCH(G194,competency_model!$A$2:$A$25,0)),"")</f>
        <v>High</v>
      </c>
      <c r="L194" s="21">
        <v>2</v>
      </c>
      <c r="M194" s="21">
        <f t="shared" ref="M194:M257" si="18">MAX(0,J194-L194)</f>
        <v>2</v>
      </c>
      <c r="N194" s="16" t="str">
        <f t="shared" ref="N194:N257" si="19">IF(M194=0,"No Gap",IF(M194=1,"Minor",IF(M194=2,"Moderate","Critical")))</f>
        <v>Moderate</v>
      </c>
      <c r="O194" s="21">
        <f t="shared" ref="O194:O257" si="20">IF(K194="High",3,IF(K194="Medium",2,1))</f>
        <v>3</v>
      </c>
      <c r="P194" s="21">
        <f t="shared" ref="P194:P257" si="21">M194*O194</f>
        <v>6</v>
      </c>
      <c r="Q194" s="16" t="str">
        <f t="shared" ref="Q194:Q257" si="22">IF(L194&gt;=J194,"Ready","Development Needed")</f>
        <v>Development Needed</v>
      </c>
      <c r="R194" s="16" t="s">
        <v>228</v>
      </c>
      <c r="S194" s="23">
        <v>45804.829435509258</v>
      </c>
      <c r="T194" s="25">
        <f t="shared" ref="T194:T257" ca="1" si="23">TODAY()-S194</f>
        <v>397.17056449074153</v>
      </c>
      <c r="U194" s="16" t="s">
        <v>223</v>
      </c>
      <c r="V194" s="16"/>
      <c r="W194" s="6" t="str">
        <f ca="1">IF(R194="Missing","Missing evidence",IF(T194&gt;365,"Stale assessment",IF(COUNTIFS($B$2:$B$264,B194,$G$2:$G$264,G194)&gt;1,"Duplicate competency record",IF(INDEX(employees!$H$2:$H$37,MATCH(B194,employees!$A$2:$A$37,0))="Inactive","Inactive account","OK"))))</f>
        <v>Stale assessment</v>
      </c>
    </row>
    <row r="195" spans="1:23" ht="15" customHeight="1">
      <c r="A195" s="5" t="s">
        <v>424</v>
      </c>
      <c r="B195" s="16" t="s">
        <v>120</v>
      </c>
      <c r="C195" s="16" t="str">
        <f>IFERROR(INDEX(employees!$B$2:$B$37,MATCH(B195,employees!$A$2:$A$37,0)),"")</f>
        <v>Drew Singh</v>
      </c>
      <c r="D195" s="16" t="str">
        <f>IFERROR(INDEX(employees!$C$2:$C$37,MATCH(B195,employees!$A$2:$A$37,0)),"")</f>
        <v>Protection &amp; Control</v>
      </c>
      <c r="E195" s="16" t="str">
        <f>IFERROR(INDEX(employees!$D$2:$D$37,MATCH(B195,employees!$A$2:$A$37,0)),"")</f>
        <v>Software Engineering</v>
      </c>
      <c r="F195" s="16" t="str">
        <f>IFERROR(INDEX(employees!$E$2:$E$37,MATCH(B195,employees!$A$2:$A$37,0)),"")</f>
        <v>Engineer</v>
      </c>
      <c r="G195" s="16" t="s">
        <v>173</v>
      </c>
      <c r="H195" s="16" t="str">
        <f>IFERROR(INDEX(competency_model!$C$2:$C$25,MATCH(G195,competency_model!$A$2:$A$25,0)),"")</f>
        <v>Testing &amp; Validation</v>
      </c>
      <c r="I195" s="16" t="str">
        <f>IFERROR(INDEX(competency_model!$D$2:$D$25,MATCH(G195,competency_model!$A$2:$A$25,0)),"")</f>
        <v>Defect Investigation</v>
      </c>
      <c r="J195" s="16">
        <f>IFERROR(INDEX(competency_model!$F$2:$F$25,MATCH(G195,competency_model!$A$2:$A$25,0)),"")</f>
        <v>3</v>
      </c>
      <c r="K195" s="16" t="str">
        <f>IFERROR(INDEX(competency_model!$G$2:$G$25,MATCH(G195,competency_model!$A$2:$A$25,0)),"")</f>
        <v>Medium</v>
      </c>
      <c r="L195" s="21">
        <v>3</v>
      </c>
      <c r="M195" s="21">
        <f t="shared" si="18"/>
        <v>0</v>
      </c>
      <c r="N195" s="16" t="str">
        <f t="shared" si="19"/>
        <v>No Gap</v>
      </c>
      <c r="O195" s="21">
        <f t="shared" si="20"/>
        <v>2</v>
      </c>
      <c r="P195" s="21">
        <f t="shared" si="21"/>
        <v>0</v>
      </c>
      <c r="Q195" s="16" t="str">
        <f t="shared" si="22"/>
        <v>Ready</v>
      </c>
      <c r="R195" s="16" t="s">
        <v>222</v>
      </c>
      <c r="S195" s="23">
        <v>46049.708593854164</v>
      </c>
      <c r="T195" s="25">
        <f t="shared" ca="1" si="23"/>
        <v>152.29140614583594</v>
      </c>
      <c r="U195" s="16" t="s">
        <v>242</v>
      </c>
      <c r="V195" s="16"/>
      <c r="W195" s="6" t="str">
        <f>IF(R195="Missing","Missing evidence",IF(T195&gt;365,"Stale assessment",IF(COUNTIFS($B$2:$B$264,B195,$G$2:$G$264,G195)&gt;1,"Duplicate competency record",IF(INDEX(employees!$H$2:$H$37,MATCH(B195,employees!$A$2:$A$37,0))="Inactive","Inactive account","OK"))))</f>
        <v>Missing evidence</v>
      </c>
    </row>
    <row r="196" spans="1:23" ht="15" customHeight="1">
      <c r="A196" s="5" t="s">
        <v>425</v>
      </c>
      <c r="B196" s="16" t="s">
        <v>120</v>
      </c>
      <c r="C196" s="16" t="str">
        <f>IFERROR(INDEX(employees!$B$2:$B$37,MATCH(B196,employees!$A$2:$A$37,0)),"")</f>
        <v>Drew Singh</v>
      </c>
      <c r="D196" s="16" t="str">
        <f>IFERROR(INDEX(employees!$C$2:$C$37,MATCH(B196,employees!$A$2:$A$37,0)),"")</f>
        <v>Protection &amp; Control</v>
      </c>
      <c r="E196" s="16" t="str">
        <f>IFERROR(INDEX(employees!$D$2:$D$37,MATCH(B196,employees!$A$2:$A$37,0)),"")</f>
        <v>Software Engineering</v>
      </c>
      <c r="F196" s="16" t="str">
        <f>IFERROR(INDEX(employees!$E$2:$E$37,MATCH(B196,employees!$A$2:$A$37,0)),"")</f>
        <v>Engineer</v>
      </c>
      <c r="G196" s="16" t="s">
        <v>163</v>
      </c>
      <c r="H196" s="16" t="str">
        <f>IFERROR(INDEX(competency_model!$C$2:$C$25,MATCH(G196,competency_model!$A$2:$A$25,0)),"")</f>
        <v>Engineering Documentation</v>
      </c>
      <c r="I196" s="16" t="str">
        <f>IFERROR(INDEX(competency_model!$D$2:$D$25,MATCH(G196,competency_model!$A$2:$A$25,0)),"")</f>
        <v>Technical Documentation</v>
      </c>
      <c r="J196" s="16">
        <f>IFERROR(INDEX(competency_model!$F$2:$F$25,MATCH(G196,competency_model!$A$2:$A$25,0)),"")</f>
        <v>4</v>
      </c>
      <c r="K196" s="16" t="str">
        <f>IFERROR(INDEX(competency_model!$G$2:$G$25,MATCH(G196,competency_model!$A$2:$A$25,0)),"")</f>
        <v>High</v>
      </c>
      <c r="L196" s="21">
        <v>3</v>
      </c>
      <c r="M196" s="21">
        <f t="shared" si="18"/>
        <v>1</v>
      </c>
      <c r="N196" s="16" t="str">
        <f t="shared" si="19"/>
        <v>Minor</v>
      </c>
      <c r="O196" s="21">
        <f t="shared" si="20"/>
        <v>3</v>
      </c>
      <c r="P196" s="21">
        <f t="shared" si="21"/>
        <v>3</v>
      </c>
      <c r="Q196" s="16" t="str">
        <f t="shared" si="22"/>
        <v>Development Needed</v>
      </c>
      <c r="R196" s="16" t="s">
        <v>225</v>
      </c>
      <c r="S196" s="23">
        <v>46172.662982268521</v>
      </c>
      <c r="T196" s="25">
        <f t="shared" ca="1" si="23"/>
        <v>29.337017731479136</v>
      </c>
      <c r="U196" s="16" t="s">
        <v>229</v>
      </c>
      <c r="V196" s="16"/>
      <c r="W196" s="6" t="str">
        <f ca="1">IF(R196="Missing","Missing evidence",IF(T196&gt;365,"Stale assessment",IF(COUNTIFS($B$2:$B$264,B196,$G$2:$G$264,G196)&gt;1,"Duplicate competency record",IF(INDEX(employees!$H$2:$H$37,MATCH(B196,employees!$A$2:$A$37,0))="Inactive","Inactive account","OK"))))</f>
        <v>OK</v>
      </c>
    </row>
    <row r="197" spans="1:23" ht="15" customHeight="1">
      <c r="A197" s="5" t="s">
        <v>426</v>
      </c>
      <c r="B197" s="16" t="s">
        <v>120</v>
      </c>
      <c r="C197" s="16" t="str">
        <f>IFERROR(INDEX(employees!$B$2:$B$37,MATCH(B197,employees!$A$2:$A$37,0)),"")</f>
        <v>Drew Singh</v>
      </c>
      <c r="D197" s="16" t="str">
        <f>IFERROR(INDEX(employees!$C$2:$C$37,MATCH(B197,employees!$A$2:$A$37,0)),"")</f>
        <v>Protection &amp; Control</v>
      </c>
      <c r="E197" s="16" t="str">
        <f>IFERROR(INDEX(employees!$D$2:$D$37,MATCH(B197,employees!$A$2:$A$37,0)),"")</f>
        <v>Software Engineering</v>
      </c>
      <c r="F197" s="16" t="str">
        <f>IFERROR(INDEX(employees!$E$2:$E$37,MATCH(B197,employees!$A$2:$A$37,0)),"")</f>
        <v>Engineer</v>
      </c>
      <c r="G197" s="16" t="s">
        <v>160</v>
      </c>
      <c r="H197" s="16" t="str">
        <f>IFERROR(INDEX(competency_model!$C$2:$C$25,MATCH(G197,competency_model!$A$2:$A$25,0)),"")</f>
        <v>PowerPoint Presentation</v>
      </c>
      <c r="I197" s="16" t="str">
        <f>IFERROR(INDEX(competency_model!$D$2:$D$25,MATCH(G197,competency_model!$A$2:$A$25,0)),"")</f>
        <v>Leadership Storytelling</v>
      </c>
      <c r="J197" s="16">
        <f>IFERROR(INDEX(competency_model!$F$2:$F$25,MATCH(G197,competency_model!$A$2:$A$25,0)),"")</f>
        <v>3</v>
      </c>
      <c r="K197" s="16" t="str">
        <f>IFERROR(INDEX(competency_model!$G$2:$G$25,MATCH(G197,competency_model!$A$2:$A$25,0)),"")</f>
        <v>Medium</v>
      </c>
      <c r="L197" s="21">
        <v>2</v>
      </c>
      <c r="M197" s="21">
        <f t="shared" si="18"/>
        <v>1</v>
      </c>
      <c r="N197" s="16" t="str">
        <f t="shared" si="19"/>
        <v>Minor</v>
      </c>
      <c r="O197" s="21">
        <f t="shared" si="20"/>
        <v>2</v>
      </c>
      <c r="P197" s="21">
        <f t="shared" si="21"/>
        <v>2</v>
      </c>
      <c r="Q197" s="16" t="str">
        <f t="shared" si="22"/>
        <v>Development Needed</v>
      </c>
      <c r="R197" s="16" t="s">
        <v>228</v>
      </c>
      <c r="S197" s="23">
        <v>46168.366562372685</v>
      </c>
      <c r="T197" s="25">
        <f t="shared" ca="1" si="23"/>
        <v>33.633437627315288</v>
      </c>
      <c r="U197" s="16" t="s">
        <v>242</v>
      </c>
      <c r="V197" s="16"/>
      <c r="W197" s="6" t="str">
        <f ca="1">IF(R197="Missing","Missing evidence",IF(T197&gt;365,"Stale assessment",IF(COUNTIFS($B$2:$B$264,B197,$G$2:$G$264,G197)&gt;1,"Duplicate competency record",IF(INDEX(employees!$H$2:$H$37,MATCH(B197,employees!$A$2:$A$37,0))="Inactive","Inactive account","OK"))))</f>
        <v>OK</v>
      </c>
    </row>
    <row r="198" spans="1:23" ht="15" customHeight="1">
      <c r="A198" s="5" t="s">
        <v>427</v>
      </c>
      <c r="B198" s="16" t="s">
        <v>122</v>
      </c>
      <c r="C198" s="16" t="str">
        <f>IFERROR(INDEX(employees!$B$2:$B$37,MATCH(B198,employees!$A$2:$A$37,0)),"")</f>
        <v>Alex Morgan</v>
      </c>
      <c r="D198" s="16" t="str">
        <f>IFERROR(INDEX(employees!$C$2:$C$37,MATCH(B198,employees!$A$2:$A$37,0)),"")</f>
        <v>Grid Automation</v>
      </c>
      <c r="E198" s="16" t="str">
        <f>IFERROR(INDEX(employees!$D$2:$D$37,MATCH(B198,employees!$A$2:$A$37,0)),"")</f>
        <v>Engineering Management</v>
      </c>
      <c r="F198" s="16" t="str">
        <f>IFERROR(INDEX(employees!$E$2:$E$37,MATCH(B198,employees!$A$2:$A$37,0)),"")</f>
        <v>Engineer</v>
      </c>
      <c r="G198" s="16" t="s">
        <v>197</v>
      </c>
      <c r="H198" s="16" t="str">
        <f>IFERROR(INDEX(competency_model!$C$2:$C$25,MATCH(G198,competency_model!$A$2:$A$25,0)),"")</f>
        <v>User Support</v>
      </c>
      <c r="I198" s="16" t="str">
        <f>IFERROR(INDEX(competency_model!$D$2:$D$25,MATCH(G198,competency_model!$A$2:$A$25,0)),"")</f>
        <v>Competency Tool User Support</v>
      </c>
      <c r="J198" s="16">
        <f>IFERROR(INDEX(competency_model!$F$2:$F$25,MATCH(G198,competency_model!$A$2:$A$25,0)),"")</f>
        <v>3</v>
      </c>
      <c r="K198" s="16" t="str">
        <f>IFERROR(INDEX(competency_model!$G$2:$G$25,MATCH(G198,competency_model!$A$2:$A$25,0)),"")</f>
        <v>Medium</v>
      </c>
      <c r="L198" s="21">
        <v>3</v>
      </c>
      <c r="M198" s="21">
        <f t="shared" si="18"/>
        <v>0</v>
      </c>
      <c r="N198" s="16" t="str">
        <f t="shared" si="19"/>
        <v>No Gap</v>
      </c>
      <c r="O198" s="21">
        <f t="shared" si="20"/>
        <v>2</v>
      </c>
      <c r="P198" s="21">
        <f t="shared" si="21"/>
        <v>0</v>
      </c>
      <c r="Q198" s="16" t="str">
        <f t="shared" si="22"/>
        <v>Ready</v>
      </c>
      <c r="R198" s="16" t="s">
        <v>225</v>
      </c>
      <c r="S198" s="23">
        <v>46099.11765591435</v>
      </c>
      <c r="T198" s="25">
        <f t="shared" ca="1" si="23"/>
        <v>102.8823440856504</v>
      </c>
      <c r="U198" s="16" t="s">
        <v>242</v>
      </c>
      <c r="V198" s="16" t="s">
        <v>233</v>
      </c>
      <c r="W198" s="6" t="str">
        <f ca="1">IF(R198="Missing","Missing evidence",IF(T198&gt;365,"Stale assessment",IF(COUNTIFS($B$2:$B$264,B198,$G$2:$G$264,G198)&gt;1,"Duplicate competency record",IF(INDEX(employees!$H$2:$H$37,MATCH(B198,employees!$A$2:$A$37,0))="Inactive","Inactive account","OK"))))</f>
        <v>OK</v>
      </c>
    </row>
    <row r="199" spans="1:23" ht="15" customHeight="1">
      <c r="A199" s="5" t="s">
        <v>428</v>
      </c>
      <c r="B199" s="16" t="s">
        <v>122</v>
      </c>
      <c r="C199" s="16" t="str">
        <f>IFERROR(INDEX(employees!$B$2:$B$37,MATCH(B199,employees!$A$2:$A$37,0)),"")</f>
        <v>Alex Morgan</v>
      </c>
      <c r="D199" s="16" t="str">
        <f>IFERROR(INDEX(employees!$C$2:$C$37,MATCH(B199,employees!$A$2:$A$37,0)),"")</f>
        <v>Grid Automation</v>
      </c>
      <c r="E199" s="16" t="str">
        <f>IFERROR(INDEX(employees!$D$2:$D$37,MATCH(B199,employees!$A$2:$A$37,0)),"")</f>
        <v>Engineering Management</v>
      </c>
      <c r="F199" s="16" t="str">
        <f>IFERROR(INDEX(employees!$E$2:$E$37,MATCH(B199,employees!$A$2:$A$37,0)),"")</f>
        <v>Engineer</v>
      </c>
      <c r="G199" s="16" t="s">
        <v>178</v>
      </c>
      <c r="H199" s="16" t="str">
        <f>IFERROR(INDEX(competency_model!$C$2:$C$25,MATCH(G199,competency_model!$A$2:$A$25,0)),"")</f>
        <v>Stakeholder Communication</v>
      </c>
      <c r="I199" s="16" t="str">
        <f>IFERROR(INDEX(competency_model!$D$2:$D$25,MATCH(G199,competency_model!$A$2:$A$25,0)),"")</f>
        <v>Non-Technical Explanation</v>
      </c>
      <c r="J199" s="16">
        <f>IFERROR(INDEX(competency_model!$F$2:$F$25,MATCH(G199,competency_model!$A$2:$A$25,0)),"")</f>
        <v>3</v>
      </c>
      <c r="K199" s="16" t="str">
        <f>IFERROR(INDEX(competency_model!$G$2:$G$25,MATCH(G199,competency_model!$A$2:$A$25,0)),"")</f>
        <v>Medium</v>
      </c>
      <c r="L199" s="21">
        <v>1</v>
      </c>
      <c r="M199" s="21">
        <f t="shared" si="18"/>
        <v>2</v>
      </c>
      <c r="N199" s="16" t="str">
        <f t="shared" si="19"/>
        <v>Moderate</v>
      </c>
      <c r="O199" s="21">
        <f t="shared" si="20"/>
        <v>2</v>
      </c>
      <c r="P199" s="21">
        <f t="shared" si="21"/>
        <v>4</v>
      </c>
      <c r="Q199" s="16" t="str">
        <f t="shared" si="22"/>
        <v>Development Needed</v>
      </c>
      <c r="R199" s="16" t="s">
        <v>225</v>
      </c>
      <c r="S199" s="23">
        <v>45974.003868125001</v>
      </c>
      <c r="T199" s="25">
        <f t="shared" ca="1" si="23"/>
        <v>227.99613187499926</v>
      </c>
      <c r="U199" s="16" t="s">
        <v>229</v>
      </c>
      <c r="V199" s="16" t="s">
        <v>233</v>
      </c>
      <c r="W199" s="6" t="str">
        <f ca="1">IF(R199="Missing","Missing evidence",IF(T199&gt;365,"Stale assessment",IF(COUNTIFS($B$2:$B$264,B199,$G$2:$G$264,G199)&gt;1,"Duplicate competency record",IF(INDEX(employees!$H$2:$H$37,MATCH(B199,employees!$A$2:$A$37,0))="Inactive","Inactive account","OK"))))</f>
        <v>OK</v>
      </c>
    </row>
    <row r="200" spans="1:23" ht="15" customHeight="1">
      <c r="A200" s="5" t="s">
        <v>429</v>
      </c>
      <c r="B200" s="16" t="s">
        <v>122</v>
      </c>
      <c r="C200" s="16" t="str">
        <f>IFERROR(INDEX(employees!$B$2:$B$37,MATCH(B200,employees!$A$2:$A$37,0)),"")</f>
        <v>Alex Morgan</v>
      </c>
      <c r="D200" s="16" t="str">
        <f>IFERROR(INDEX(employees!$C$2:$C$37,MATCH(B200,employees!$A$2:$A$37,0)),"")</f>
        <v>Grid Automation</v>
      </c>
      <c r="E200" s="16" t="str">
        <f>IFERROR(INDEX(employees!$D$2:$D$37,MATCH(B200,employees!$A$2:$A$37,0)),"")</f>
        <v>Engineering Management</v>
      </c>
      <c r="F200" s="16" t="str">
        <f>IFERROR(INDEX(employees!$E$2:$E$37,MATCH(B200,employees!$A$2:$A$37,0)),"")</f>
        <v>Engineer</v>
      </c>
      <c r="G200" s="16" t="s">
        <v>175</v>
      </c>
      <c r="H200" s="16" t="str">
        <f>IFERROR(INDEX(competency_model!$C$2:$C$25,MATCH(G200,competency_model!$A$2:$A$25,0)),"")</f>
        <v>Safety / Compliance</v>
      </c>
      <c r="I200" s="16" t="str">
        <f>IFERROR(INDEX(competency_model!$D$2:$D$25,MATCH(G200,competency_model!$A$2:$A$25,0)),"")</f>
        <v>Engineering Safety Awareness</v>
      </c>
      <c r="J200" s="16">
        <f>IFERROR(INDEX(competency_model!$F$2:$F$25,MATCH(G200,competency_model!$A$2:$A$25,0)),"")</f>
        <v>4</v>
      </c>
      <c r="K200" s="16" t="str">
        <f>IFERROR(INDEX(competency_model!$G$2:$G$25,MATCH(G200,competency_model!$A$2:$A$25,0)),"")</f>
        <v>High</v>
      </c>
      <c r="L200" s="21">
        <v>1</v>
      </c>
      <c r="M200" s="21">
        <f t="shared" si="18"/>
        <v>3</v>
      </c>
      <c r="N200" s="16" t="str">
        <f t="shared" si="19"/>
        <v>Critical</v>
      </c>
      <c r="O200" s="21">
        <f t="shared" si="20"/>
        <v>3</v>
      </c>
      <c r="P200" s="21">
        <f t="shared" si="21"/>
        <v>9</v>
      </c>
      <c r="Q200" s="16" t="str">
        <f t="shared" si="22"/>
        <v>Development Needed</v>
      </c>
      <c r="R200" s="16" t="s">
        <v>228</v>
      </c>
      <c r="S200" s="23">
        <v>46030.067407754628</v>
      </c>
      <c r="T200" s="25">
        <f t="shared" ca="1" si="23"/>
        <v>171.93259224537178</v>
      </c>
      <c r="U200" s="16" t="s">
        <v>223</v>
      </c>
      <c r="V200" s="16"/>
      <c r="W200" s="6" t="str">
        <f ca="1">IF(R200="Missing","Missing evidence",IF(T200&gt;365,"Stale assessment",IF(COUNTIFS($B$2:$B$264,B200,$G$2:$G$264,G200)&gt;1,"Duplicate competency record",IF(INDEX(employees!$H$2:$H$37,MATCH(B200,employees!$A$2:$A$37,0))="Inactive","Inactive account","OK"))))</f>
        <v>OK</v>
      </c>
    </row>
    <row r="201" spans="1:23" ht="15" customHeight="1">
      <c r="A201" s="5" t="s">
        <v>430</v>
      </c>
      <c r="B201" s="16" t="s">
        <v>122</v>
      </c>
      <c r="C201" s="16" t="str">
        <f>IFERROR(INDEX(employees!$B$2:$B$37,MATCH(B201,employees!$A$2:$A$37,0)),"")</f>
        <v>Alex Morgan</v>
      </c>
      <c r="D201" s="16" t="str">
        <f>IFERROR(INDEX(employees!$C$2:$C$37,MATCH(B201,employees!$A$2:$A$37,0)),"")</f>
        <v>Grid Automation</v>
      </c>
      <c r="E201" s="16" t="str">
        <f>IFERROR(INDEX(employees!$D$2:$D$37,MATCH(B201,employees!$A$2:$A$37,0)),"")</f>
        <v>Engineering Management</v>
      </c>
      <c r="F201" s="16" t="str">
        <f>IFERROR(INDEX(employees!$E$2:$E$37,MATCH(B201,employees!$A$2:$A$37,0)),"")</f>
        <v>Engineer</v>
      </c>
      <c r="G201" s="16" t="s">
        <v>163</v>
      </c>
      <c r="H201" s="16" t="str">
        <f>IFERROR(INDEX(competency_model!$C$2:$C$25,MATCH(G201,competency_model!$A$2:$A$25,0)),"")</f>
        <v>Engineering Documentation</v>
      </c>
      <c r="I201" s="16" t="str">
        <f>IFERROR(INDEX(competency_model!$D$2:$D$25,MATCH(G201,competency_model!$A$2:$A$25,0)),"")</f>
        <v>Technical Documentation</v>
      </c>
      <c r="J201" s="16">
        <f>IFERROR(INDEX(competency_model!$F$2:$F$25,MATCH(G201,competency_model!$A$2:$A$25,0)),"")</f>
        <v>4</v>
      </c>
      <c r="K201" s="16" t="str">
        <f>IFERROR(INDEX(competency_model!$G$2:$G$25,MATCH(G201,competency_model!$A$2:$A$25,0)),"")</f>
        <v>High</v>
      </c>
      <c r="L201" s="21">
        <v>1</v>
      </c>
      <c r="M201" s="21">
        <f t="shared" si="18"/>
        <v>3</v>
      </c>
      <c r="N201" s="16" t="str">
        <f t="shared" si="19"/>
        <v>Critical</v>
      </c>
      <c r="O201" s="21">
        <f t="shared" si="20"/>
        <v>3</v>
      </c>
      <c r="P201" s="21">
        <f t="shared" si="21"/>
        <v>9</v>
      </c>
      <c r="Q201" s="16" t="str">
        <f t="shared" si="22"/>
        <v>Development Needed</v>
      </c>
      <c r="R201" s="16" t="s">
        <v>228</v>
      </c>
      <c r="S201" s="23">
        <v>46104.884658935189</v>
      </c>
      <c r="T201" s="25">
        <f t="shared" ca="1" si="23"/>
        <v>97.115341064811219</v>
      </c>
      <c r="U201" s="16" t="s">
        <v>229</v>
      </c>
      <c r="V201" s="16" t="s">
        <v>231</v>
      </c>
      <c r="W201" s="6" t="str">
        <f ca="1">IF(R201="Missing","Missing evidence",IF(T201&gt;365,"Stale assessment",IF(COUNTIFS($B$2:$B$264,B201,$G$2:$G$264,G201)&gt;1,"Duplicate competency record",IF(INDEX(employees!$H$2:$H$37,MATCH(B201,employees!$A$2:$A$37,0))="Inactive","Inactive account","OK"))))</f>
        <v>OK</v>
      </c>
    </row>
    <row r="202" spans="1:23" ht="15" customHeight="1">
      <c r="A202" s="5" t="s">
        <v>431</v>
      </c>
      <c r="B202" s="16" t="s">
        <v>122</v>
      </c>
      <c r="C202" s="16" t="str">
        <f>IFERROR(INDEX(employees!$B$2:$B$37,MATCH(B202,employees!$A$2:$A$37,0)),"")</f>
        <v>Alex Morgan</v>
      </c>
      <c r="D202" s="16" t="str">
        <f>IFERROR(INDEX(employees!$C$2:$C$37,MATCH(B202,employees!$A$2:$A$37,0)),"")</f>
        <v>Grid Automation</v>
      </c>
      <c r="E202" s="16" t="str">
        <f>IFERROR(INDEX(employees!$D$2:$D$37,MATCH(B202,employees!$A$2:$A$37,0)),"")</f>
        <v>Engineering Management</v>
      </c>
      <c r="F202" s="16" t="str">
        <f>IFERROR(INDEX(employees!$E$2:$E$37,MATCH(B202,employees!$A$2:$A$37,0)),"")</f>
        <v>Engineer</v>
      </c>
      <c r="G202" s="16" t="s">
        <v>204</v>
      </c>
      <c r="H202" s="16" t="str">
        <f>IFERROR(INDEX(competency_model!$C$2:$C$25,MATCH(G202,competency_model!$A$2:$A$25,0)),"")</f>
        <v>PowerPoint Presentation</v>
      </c>
      <c r="I202" s="16" t="str">
        <f>IFERROR(INDEX(competency_model!$D$2:$D$25,MATCH(G202,competency_model!$A$2:$A$25,0)),"")</f>
        <v>Executive Summary Slides</v>
      </c>
      <c r="J202" s="16">
        <f>IFERROR(INDEX(competency_model!$F$2:$F$25,MATCH(G202,competency_model!$A$2:$A$25,0)),"")</f>
        <v>3</v>
      </c>
      <c r="K202" s="16" t="str">
        <f>IFERROR(INDEX(competency_model!$G$2:$G$25,MATCH(G202,competency_model!$A$2:$A$25,0)),"")</f>
        <v>Medium</v>
      </c>
      <c r="L202" s="21">
        <v>1</v>
      </c>
      <c r="M202" s="21">
        <f t="shared" si="18"/>
        <v>2</v>
      </c>
      <c r="N202" s="16" t="str">
        <f t="shared" si="19"/>
        <v>Moderate</v>
      </c>
      <c r="O202" s="21">
        <f t="shared" si="20"/>
        <v>2</v>
      </c>
      <c r="P202" s="21">
        <f t="shared" si="21"/>
        <v>4</v>
      </c>
      <c r="Q202" s="16" t="str">
        <f t="shared" si="22"/>
        <v>Development Needed</v>
      </c>
      <c r="R202" s="16" t="s">
        <v>222</v>
      </c>
      <c r="S202" s="23">
        <v>46008.507605902778</v>
      </c>
      <c r="T202" s="25">
        <f t="shared" ca="1" si="23"/>
        <v>193.49239409722213</v>
      </c>
      <c r="U202" s="16" t="s">
        <v>223</v>
      </c>
      <c r="V202" s="16" t="s">
        <v>239</v>
      </c>
      <c r="W202" s="6" t="str">
        <f>IF(R202="Missing","Missing evidence",IF(T202&gt;365,"Stale assessment",IF(COUNTIFS($B$2:$B$264,B202,$G$2:$G$264,G202)&gt;1,"Duplicate competency record",IF(INDEX(employees!$H$2:$H$37,MATCH(B202,employees!$A$2:$A$37,0))="Inactive","Inactive account","OK"))))</f>
        <v>Missing evidence</v>
      </c>
    </row>
    <row r="203" spans="1:23" ht="15" customHeight="1">
      <c r="A203" s="5" t="s">
        <v>432</v>
      </c>
      <c r="B203" s="16" t="s">
        <v>122</v>
      </c>
      <c r="C203" s="16" t="str">
        <f>IFERROR(INDEX(employees!$B$2:$B$37,MATCH(B203,employees!$A$2:$A$37,0)),"")</f>
        <v>Alex Morgan</v>
      </c>
      <c r="D203" s="16" t="str">
        <f>IFERROR(INDEX(employees!$C$2:$C$37,MATCH(B203,employees!$A$2:$A$37,0)),"")</f>
        <v>Grid Automation</v>
      </c>
      <c r="E203" s="16" t="str">
        <f>IFERROR(INDEX(employees!$D$2:$D$37,MATCH(B203,employees!$A$2:$A$37,0)),"")</f>
        <v>Engineering Management</v>
      </c>
      <c r="F203" s="16" t="str">
        <f>IFERROR(INDEX(employees!$E$2:$E$37,MATCH(B203,employees!$A$2:$A$37,0)),"")</f>
        <v>Engineer</v>
      </c>
      <c r="G203" s="16" t="s">
        <v>160</v>
      </c>
      <c r="H203" s="16" t="str">
        <f>IFERROR(INDEX(competency_model!$C$2:$C$25,MATCH(G203,competency_model!$A$2:$A$25,0)),"")</f>
        <v>PowerPoint Presentation</v>
      </c>
      <c r="I203" s="16" t="str">
        <f>IFERROR(INDEX(competency_model!$D$2:$D$25,MATCH(G203,competency_model!$A$2:$A$25,0)),"")</f>
        <v>Leadership Storytelling</v>
      </c>
      <c r="J203" s="16">
        <f>IFERROR(INDEX(competency_model!$F$2:$F$25,MATCH(G203,competency_model!$A$2:$A$25,0)),"")</f>
        <v>3</v>
      </c>
      <c r="K203" s="16" t="str">
        <f>IFERROR(INDEX(competency_model!$G$2:$G$25,MATCH(G203,competency_model!$A$2:$A$25,0)),"")</f>
        <v>Medium</v>
      </c>
      <c r="L203" s="21">
        <v>1</v>
      </c>
      <c r="M203" s="21">
        <f t="shared" si="18"/>
        <v>2</v>
      </c>
      <c r="N203" s="16" t="str">
        <f t="shared" si="19"/>
        <v>Moderate</v>
      </c>
      <c r="O203" s="21">
        <f t="shared" si="20"/>
        <v>2</v>
      </c>
      <c r="P203" s="21">
        <f t="shared" si="21"/>
        <v>4</v>
      </c>
      <c r="Q203" s="16" t="str">
        <f t="shared" si="22"/>
        <v>Development Needed</v>
      </c>
      <c r="R203" s="16" t="s">
        <v>228</v>
      </c>
      <c r="S203" s="23">
        <v>45969.410345162039</v>
      </c>
      <c r="T203" s="25">
        <f t="shared" ca="1" si="23"/>
        <v>232.58965483796055</v>
      </c>
      <c r="U203" s="16" t="s">
        <v>223</v>
      </c>
      <c r="V203" s="16"/>
      <c r="W203" s="6" t="str">
        <f ca="1">IF(R203="Missing","Missing evidence",IF(T203&gt;365,"Stale assessment",IF(COUNTIFS($B$2:$B$264,B203,$G$2:$G$264,G203)&gt;1,"Duplicate competency record",IF(INDEX(employees!$H$2:$H$37,MATCH(B203,employees!$A$2:$A$37,0))="Inactive","Inactive account","OK"))))</f>
        <v>OK</v>
      </c>
    </row>
    <row r="204" spans="1:23" ht="15" customHeight="1">
      <c r="A204" s="5" t="s">
        <v>433</v>
      </c>
      <c r="B204" s="16" t="s">
        <v>122</v>
      </c>
      <c r="C204" s="16" t="str">
        <f>IFERROR(INDEX(employees!$B$2:$B$37,MATCH(B204,employees!$A$2:$A$37,0)),"")</f>
        <v>Alex Morgan</v>
      </c>
      <c r="D204" s="16" t="str">
        <f>IFERROR(INDEX(employees!$C$2:$C$37,MATCH(B204,employees!$A$2:$A$37,0)),"")</f>
        <v>Grid Automation</v>
      </c>
      <c r="E204" s="16" t="str">
        <f>IFERROR(INDEX(employees!$D$2:$D$37,MATCH(B204,employees!$A$2:$A$37,0)),"")</f>
        <v>Engineering Management</v>
      </c>
      <c r="F204" s="16" t="str">
        <f>IFERROR(INDEX(employees!$E$2:$E$37,MATCH(B204,employees!$A$2:$A$37,0)),"")</f>
        <v>Engineer</v>
      </c>
      <c r="G204" s="16" t="s">
        <v>194</v>
      </c>
      <c r="H204" s="16" t="str">
        <f>IFERROR(INDEX(competency_model!$C$2:$C$25,MATCH(G204,competency_model!$A$2:$A$25,0)),"")</f>
        <v>Competency Systems</v>
      </c>
      <c r="I204" s="16" t="str">
        <f>IFERROR(INDEX(competency_model!$D$2:$D$25,MATCH(G204,competency_model!$A$2:$A$25,0)),"")</f>
        <v>Competency Model Maintenance</v>
      </c>
      <c r="J204" s="16">
        <f>IFERROR(INDEX(competency_model!$F$2:$F$25,MATCH(G204,competency_model!$A$2:$A$25,0)),"")</f>
        <v>3</v>
      </c>
      <c r="K204" s="16" t="str">
        <f>IFERROR(INDEX(competency_model!$G$2:$G$25,MATCH(G204,competency_model!$A$2:$A$25,0)),"")</f>
        <v>High</v>
      </c>
      <c r="L204" s="21">
        <v>3</v>
      </c>
      <c r="M204" s="21">
        <f t="shared" si="18"/>
        <v>0</v>
      </c>
      <c r="N204" s="16" t="str">
        <f t="shared" si="19"/>
        <v>No Gap</v>
      </c>
      <c r="O204" s="21">
        <f t="shared" si="20"/>
        <v>3</v>
      </c>
      <c r="P204" s="21">
        <f t="shared" si="21"/>
        <v>0</v>
      </c>
      <c r="Q204" s="16" t="str">
        <f t="shared" si="22"/>
        <v>Ready</v>
      </c>
      <c r="R204" s="16" t="s">
        <v>228</v>
      </c>
      <c r="S204" s="23">
        <v>46104.446906087964</v>
      </c>
      <c r="T204" s="25">
        <f t="shared" ca="1" si="23"/>
        <v>97.553093912036275</v>
      </c>
      <c r="U204" s="16" t="s">
        <v>229</v>
      </c>
      <c r="V204" s="16"/>
      <c r="W204" s="6" t="str">
        <f ca="1">IF(R204="Missing","Missing evidence",IF(T204&gt;365,"Stale assessment",IF(COUNTIFS($B$2:$B$264,B204,$G$2:$G$264,G204)&gt;1,"Duplicate competency record",IF(INDEX(employees!$H$2:$H$37,MATCH(B204,employees!$A$2:$A$37,0))="Inactive","Inactive account","OK"))))</f>
        <v>OK</v>
      </c>
    </row>
    <row r="205" spans="1:23" ht="15" customHeight="1">
      <c r="A205" s="5" t="s">
        <v>434</v>
      </c>
      <c r="B205" s="16" t="s">
        <v>124</v>
      </c>
      <c r="C205" s="16" t="str">
        <f>IFERROR(INDEX(employees!$B$2:$B$37,MATCH(B205,employees!$A$2:$A$37,0)),"")</f>
        <v>Jamie Nguyen</v>
      </c>
      <c r="D205" s="16" t="str">
        <f>IFERROR(INDEX(employees!$C$2:$C$37,MATCH(B205,employees!$A$2:$A$37,0)),"")</f>
        <v>Chief Engineer Office</v>
      </c>
      <c r="E205" s="16" t="str">
        <f>IFERROR(INDEX(employees!$D$2:$D$37,MATCH(B205,employees!$A$2:$A$37,0)),"")</f>
        <v>Engineering Management</v>
      </c>
      <c r="F205" s="16" t="str">
        <f>IFERROR(INDEX(employees!$E$2:$E$37,MATCH(B205,employees!$A$2:$A$37,0)),"")</f>
        <v>Senior Engineer</v>
      </c>
      <c r="G205" s="16" t="s">
        <v>154</v>
      </c>
      <c r="H205" s="16" t="str">
        <f>IFERROR(INDEX(competency_model!$C$2:$C$25,MATCH(G205,competency_model!$A$2:$A$25,0)),"")</f>
        <v>Excel Reporting</v>
      </c>
      <c r="I205" s="16" t="str">
        <f>IFERROR(INDEX(competency_model!$D$2:$D$25,MATCH(G205,competency_model!$A$2:$A$25,0)),"")</f>
        <v>PivotTables and Power Query</v>
      </c>
      <c r="J205" s="16">
        <f>IFERROR(INDEX(competency_model!$F$2:$F$25,MATCH(G205,competency_model!$A$2:$A$25,0)),"")</f>
        <v>4</v>
      </c>
      <c r="K205" s="16" t="str">
        <f>IFERROR(INDEX(competency_model!$G$2:$G$25,MATCH(G205,competency_model!$A$2:$A$25,0)),"")</f>
        <v>High</v>
      </c>
      <c r="L205" s="21">
        <v>4</v>
      </c>
      <c r="M205" s="21">
        <f t="shared" si="18"/>
        <v>0</v>
      </c>
      <c r="N205" s="16" t="str">
        <f t="shared" si="19"/>
        <v>No Gap</v>
      </c>
      <c r="O205" s="21">
        <f t="shared" si="20"/>
        <v>3</v>
      </c>
      <c r="P205" s="21">
        <f t="shared" si="21"/>
        <v>0</v>
      </c>
      <c r="Q205" s="16" t="str">
        <f t="shared" si="22"/>
        <v>Ready</v>
      </c>
      <c r="R205" s="16" t="s">
        <v>228</v>
      </c>
      <c r="S205" s="23">
        <v>46036.278399907409</v>
      </c>
      <c r="T205" s="25">
        <f t="shared" ca="1" si="23"/>
        <v>165.72160009259096</v>
      </c>
      <c r="U205" s="16" t="s">
        <v>223</v>
      </c>
      <c r="V205" s="16" t="s">
        <v>239</v>
      </c>
      <c r="W205" s="6" t="str">
        <f ca="1">IF(R205="Missing","Missing evidence",IF(T205&gt;365,"Stale assessment",IF(COUNTIFS($B$2:$B$264,B205,$G$2:$G$264,G205)&gt;1,"Duplicate competency record",IF(INDEX(employees!$H$2:$H$37,MATCH(B205,employees!$A$2:$A$37,0))="Inactive","Inactive account","OK"))))</f>
        <v>OK</v>
      </c>
    </row>
    <row r="206" spans="1:23" ht="15" customHeight="1">
      <c r="A206" s="5" t="s">
        <v>435</v>
      </c>
      <c r="B206" s="16" t="s">
        <v>124</v>
      </c>
      <c r="C206" s="16" t="str">
        <f>IFERROR(INDEX(employees!$B$2:$B$37,MATCH(B206,employees!$A$2:$A$37,0)),"")</f>
        <v>Jamie Nguyen</v>
      </c>
      <c r="D206" s="16" t="str">
        <f>IFERROR(INDEX(employees!$C$2:$C$37,MATCH(B206,employees!$A$2:$A$37,0)),"")</f>
        <v>Chief Engineer Office</v>
      </c>
      <c r="E206" s="16" t="str">
        <f>IFERROR(INDEX(employees!$D$2:$D$37,MATCH(B206,employees!$A$2:$A$37,0)),"")</f>
        <v>Engineering Management</v>
      </c>
      <c r="F206" s="16" t="str">
        <f>IFERROR(INDEX(employees!$E$2:$E$37,MATCH(B206,employees!$A$2:$A$37,0)),"")</f>
        <v>Senior Engineer</v>
      </c>
      <c r="G206" s="16" t="s">
        <v>160</v>
      </c>
      <c r="H206" s="16" t="str">
        <f>IFERROR(INDEX(competency_model!$C$2:$C$25,MATCH(G206,competency_model!$A$2:$A$25,0)),"")</f>
        <v>PowerPoint Presentation</v>
      </c>
      <c r="I206" s="16" t="str">
        <f>IFERROR(INDEX(competency_model!$D$2:$D$25,MATCH(G206,competency_model!$A$2:$A$25,0)),"")</f>
        <v>Leadership Storytelling</v>
      </c>
      <c r="J206" s="16">
        <f>IFERROR(INDEX(competency_model!$F$2:$F$25,MATCH(G206,competency_model!$A$2:$A$25,0)),"")</f>
        <v>3</v>
      </c>
      <c r="K206" s="16" t="str">
        <f>IFERROR(INDEX(competency_model!$G$2:$G$25,MATCH(G206,competency_model!$A$2:$A$25,0)),"")</f>
        <v>Medium</v>
      </c>
      <c r="L206" s="21">
        <v>3</v>
      </c>
      <c r="M206" s="21">
        <f t="shared" si="18"/>
        <v>0</v>
      </c>
      <c r="N206" s="16" t="str">
        <f t="shared" si="19"/>
        <v>No Gap</v>
      </c>
      <c r="O206" s="21">
        <f t="shared" si="20"/>
        <v>2</v>
      </c>
      <c r="P206" s="21">
        <f t="shared" si="21"/>
        <v>0</v>
      </c>
      <c r="Q206" s="16" t="str">
        <f t="shared" si="22"/>
        <v>Ready</v>
      </c>
      <c r="R206" s="16" t="s">
        <v>225</v>
      </c>
      <c r="S206" s="23">
        <v>46038.598229236108</v>
      </c>
      <c r="T206" s="25">
        <f t="shared" ca="1" si="23"/>
        <v>163.40177076389227</v>
      </c>
      <c r="U206" s="16" t="s">
        <v>223</v>
      </c>
      <c r="V206" s="16" t="s">
        <v>233</v>
      </c>
      <c r="W206" s="6" t="str">
        <f ca="1">IF(R206="Missing","Missing evidence",IF(T206&gt;365,"Stale assessment",IF(COUNTIFS($B$2:$B$264,B206,$G$2:$G$264,G206)&gt;1,"Duplicate competency record",IF(INDEX(employees!$H$2:$H$37,MATCH(B206,employees!$A$2:$A$37,0))="Inactive","Inactive account","OK"))))</f>
        <v>OK</v>
      </c>
    </row>
    <row r="207" spans="1:23" ht="15" customHeight="1">
      <c r="A207" s="5" t="s">
        <v>436</v>
      </c>
      <c r="B207" s="16" t="s">
        <v>124</v>
      </c>
      <c r="C207" s="16" t="str">
        <f>IFERROR(INDEX(employees!$B$2:$B$37,MATCH(B207,employees!$A$2:$A$37,0)),"")</f>
        <v>Jamie Nguyen</v>
      </c>
      <c r="D207" s="16" t="str">
        <f>IFERROR(INDEX(employees!$C$2:$C$37,MATCH(B207,employees!$A$2:$A$37,0)),"")</f>
        <v>Chief Engineer Office</v>
      </c>
      <c r="E207" s="16" t="str">
        <f>IFERROR(INDEX(employees!$D$2:$D$37,MATCH(B207,employees!$A$2:$A$37,0)),"")</f>
        <v>Engineering Management</v>
      </c>
      <c r="F207" s="16" t="str">
        <f>IFERROR(INDEX(employees!$E$2:$E$37,MATCH(B207,employees!$A$2:$A$37,0)),"")</f>
        <v>Senior Engineer</v>
      </c>
      <c r="G207" s="16" t="s">
        <v>163</v>
      </c>
      <c r="H207" s="16" t="str">
        <f>IFERROR(INDEX(competency_model!$C$2:$C$25,MATCH(G207,competency_model!$A$2:$A$25,0)),"")</f>
        <v>Engineering Documentation</v>
      </c>
      <c r="I207" s="16" t="str">
        <f>IFERROR(INDEX(competency_model!$D$2:$D$25,MATCH(G207,competency_model!$A$2:$A$25,0)),"")</f>
        <v>Technical Documentation</v>
      </c>
      <c r="J207" s="16">
        <f>IFERROR(INDEX(competency_model!$F$2:$F$25,MATCH(G207,competency_model!$A$2:$A$25,0)),"")</f>
        <v>4</v>
      </c>
      <c r="K207" s="16" t="str">
        <f>IFERROR(INDEX(competency_model!$G$2:$G$25,MATCH(G207,competency_model!$A$2:$A$25,0)),"")</f>
        <v>High</v>
      </c>
      <c r="L207" s="21">
        <v>2</v>
      </c>
      <c r="M207" s="21">
        <f t="shared" si="18"/>
        <v>2</v>
      </c>
      <c r="N207" s="16" t="str">
        <f t="shared" si="19"/>
        <v>Moderate</v>
      </c>
      <c r="O207" s="21">
        <f t="shared" si="20"/>
        <v>3</v>
      </c>
      <c r="P207" s="21">
        <f t="shared" si="21"/>
        <v>6</v>
      </c>
      <c r="Q207" s="16" t="str">
        <f t="shared" si="22"/>
        <v>Development Needed</v>
      </c>
      <c r="R207" s="16" t="s">
        <v>225</v>
      </c>
      <c r="S207" s="23">
        <v>45752.087186550925</v>
      </c>
      <c r="T207" s="25">
        <f t="shared" ca="1" si="23"/>
        <v>449.91281344907475</v>
      </c>
      <c r="U207" s="16" t="s">
        <v>229</v>
      </c>
      <c r="V207" s="16" t="s">
        <v>231</v>
      </c>
      <c r="W207" s="6" t="str">
        <f ca="1">IF(R207="Missing","Missing evidence",IF(T207&gt;365,"Stale assessment",IF(COUNTIFS($B$2:$B$264,B207,$G$2:$G$264,G207)&gt;1,"Duplicate competency record",IF(INDEX(employees!$H$2:$H$37,MATCH(B207,employees!$A$2:$A$37,0))="Inactive","Inactive account","OK"))))</f>
        <v>Stale assessment</v>
      </c>
    </row>
    <row r="208" spans="1:23" ht="15" customHeight="1">
      <c r="A208" s="5" t="s">
        <v>437</v>
      </c>
      <c r="B208" s="16" t="s">
        <v>124</v>
      </c>
      <c r="C208" s="16" t="str">
        <f>IFERROR(INDEX(employees!$B$2:$B$37,MATCH(B208,employees!$A$2:$A$37,0)),"")</f>
        <v>Jamie Nguyen</v>
      </c>
      <c r="D208" s="16" t="str">
        <f>IFERROR(INDEX(employees!$C$2:$C$37,MATCH(B208,employees!$A$2:$A$37,0)),"")</f>
        <v>Chief Engineer Office</v>
      </c>
      <c r="E208" s="16" t="str">
        <f>IFERROR(INDEX(employees!$D$2:$D$37,MATCH(B208,employees!$A$2:$A$37,0)),"")</f>
        <v>Engineering Management</v>
      </c>
      <c r="F208" s="16" t="str">
        <f>IFERROR(INDEX(employees!$E$2:$E$37,MATCH(B208,employees!$A$2:$A$37,0)),"")</f>
        <v>Senior Engineer</v>
      </c>
      <c r="G208" s="16" t="s">
        <v>204</v>
      </c>
      <c r="H208" s="16" t="str">
        <f>IFERROR(INDEX(competency_model!$C$2:$C$25,MATCH(G208,competency_model!$A$2:$A$25,0)),"")</f>
        <v>PowerPoint Presentation</v>
      </c>
      <c r="I208" s="16" t="str">
        <f>IFERROR(INDEX(competency_model!$D$2:$D$25,MATCH(G208,competency_model!$A$2:$A$25,0)),"")</f>
        <v>Executive Summary Slides</v>
      </c>
      <c r="J208" s="16">
        <f>IFERROR(INDEX(competency_model!$F$2:$F$25,MATCH(G208,competency_model!$A$2:$A$25,0)),"")</f>
        <v>3</v>
      </c>
      <c r="K208" s="16" t="str">
        <f>IFERROR(INDEX(competency_model!$G$2:$G$25,MATCH(G208,competency_model!$A$2:$A$25,0)),"")</f>
        <v>Medium</v>
      </c>
      <c r="L208" s="21">
        <v>3</v>
      </c>
      <c r="M208" s="21">
        <f t="shared" si="18"/>
        <v>0</v>
      </c>
      <c r="N208" s="16" t="str">
        <f t="shared" si="19"/>
        <v>No Gap</v>
      </c>
      <c r="O208" s="21">
        <f t="shared" si="20"/>
        <v>2</v>
      </c>
      <c r="P208" s="21">
        <f t="shared" si="21"/>
        <v>0</v>
      </c>
      <c r="Q208" s="16" t="str">
        <f t="shared" si="22"/>
        <v>Ready</v>
      </c>
      <c r="R208" s="16" t="s">
        <v>222</v>
      </c>
      <c r="S208" s="23">
        <v>45757.400084918983</v>
      </c>
      <c r="T208" s="25">
        <f t="shared" ca="1" si="23"/>
        <v>444.59991508101666</v>
      </c>
      <c r="U208" s="16" t="s">
        <v>242</v>
      </c>
      <c r="V208" s="16" t="s">
        <v>239</v>
      </c>
      <c r="W208" s="6" t="str">
        <f>IF(R208="Missing","Missing evidence",IF(T208&gt;365,"Stale assessment",IF(COUNTIFS($B$2:$B$264,B208,$G$2:$G$264,G208)&gt;1,"Duplicate competency record",IF(INDEX(employees!$H$2:$H$37,MATCH(B208,employees!$A$2:$A$37,0))="Inactive","Inactive account","OK"))))</f>
        <v>Missing evidence</v>
      </c>
    </row>
    <row r="209" spans="1:23" ht="15" customHeight="1">
      <c r="A209" s="5" t="s">
        <v>438</v>
      </c>
      <c r="B209" s="16" t="s">
        <v>124</v>
      </c>
      <c r="C209" s="16" t="str">
        <f>IFERROR(INDEX(employees!$B$2:$B$37,MATCH(B209,employees!$A$2:$A$37,0)),"")</f>
        <v>Jamie Nguyen</v>
      </c>
      <c r="D209" s="16" t="str">
        <f>IFERROR(INDEX(employees!$C$2:$C$37,MATCH(B209,employees!$A$2:$A$37,0)),"")</f>
        <v>Chief Engineer Office</v>
      </c>
      <c r="E209" s="16" t="str">
        <f>IFERROR(INDEX(employees!$D$2:$D$37,MATCH(B209,employees!$A$2:$A$37,0)),"")</f>
        <v>Engineering Management</v>
      </c>
      <c r="F209" s="16" t="str">
        <f>IFERROR(INDEX(employees!$E$2:$E$37,MATCH(B209,employees!$A$2:$A$37,0)),"")</f>
        <v>Senior Engineer</v>
      </c>
      <c r="G209" s="16" t="s">
        <v>175</v>
      </c>
      <c r="H209" s="16" t="str">
        <f>IFERROR(INDEX(competency_model!$C$2:$C$25,MATCH(G209,competency_model!$A$2:$A$25,0)),"")</f>
        <v>Safety / Compliance</v>
      </c>
      <c r="I209" s="16" t="str">
        <f>IFERROR(INDEX(competency_model!$D$2:$D$25,MATCH(G209,competency_model!$A$2:$A$25,0)),"")</f>
        <v>Engineering Safety Awareness</v>
      </c>
      <c r="J209" s="16">
        <f>IFERROR(INDEX(competency_model!$F$2:$F$25,MATCH(G209,competency_model!$A$2:$A$25,0)),"")</f>
        <v>4</v>
      </c>
      <c r="K209" s="16" t="str">
        <f>IFERROR(INDEX(competency_model!$G$2:$G$25,MATCH(G209,competency_model!$A$2:$A$25,0)),"")</f>
        <v>High</v>
      </c>
      <c r="L209" s="21">
        <v>3</v>
      </c>
      <c r="M209" s="21">
        <f t="shared" si="18"/>
        <v>1</v>
      </c>
      <c r="N209" s="16" t="str">
        <f t="shared" si="19"/>
        <v>Minor</v>
      </c>
      <c r="O209" s="21">
        <f t="shared" si="20"/>
        <v>3</v>
      </c>
      <c r="P209" s="21">
        <f t="shared" si="21"/>
        <v>3</v>
      </c>
      <c r="Q209" s="16" t="str">
        <f t="shared" si="22"/>
        <v>Development Needed</v>
      </c>
      <c r="R209" s="16" t="s">
        <v>228</v>
      </c>
      <c r="S209" s="23">
        <v>46156.68689287037</v>
      </c>
      <c r="T209" s="25">
        <f t="shared" ca="1" si="23"/>
        <v>45.313107129630225</v>
      </c>
      <c r="U209" s="16" t="s">
        <v>223</v>
      </c>
      <c r="V209" s="16" t="s">
        <v>226</v>
      </c>
      <c r="W209" s="6" t="str">
        <f ca="1">IF(R209="Missing","Missing evidence",IF(T209&gt;365,"Stale assessment",IF(COUNTIFS($B$2:$B$264,B209,$G$2:$G$264,G209)&gt;1,"Duplicate competency record",IF(INDEX(employees!$H$2:$H$37,MATCH(B209,employees!$A$2:$A$37,0))="Inactive","Inactive account","OK"))))</f>
        <v>OK</v>
      </c>
    </row>
    <row r="210" spans="1:23" ht="15" customHeight="1">
      <c r="A210" s="5" t="s">
        <v>439</v>
      </c>
      <c r="B210" s="16" t="s">
        <v>124</v>
      </c>
      <c r="C210" s="16" t="str">
        <f>IFERROR(INDEX(employees!$B$2:$B$37,MATCH(B210,employees!$A$2:$A$37,0)),"")</f>
        <v>Jamie Nguyen</v>
      </c>
      <c r="D210" s="16" t="str">
        <f>IFERROR(INDEX(employees!$C$2:$C$37,MATCH(B210,employees!$A$2:$A$37,0)),"")</f>
        <v>Chief Engineer Office</v>
      </c>
      <c r="E210" s="16" t="str">
        <f>IFERROR(INDEX(employees!$D$2:$D$37,MATCH(B210,employees!$A$2:$A$37,0)),"")</f>
        <v>Engineering Management</v>
      </c>
      <c r="F210" s="16" t="str">
        <f>IFERROR(INDEX(employees!$E$2:$E$37,MATCH(B210,employees!$A$2:$A$37,0)),"")</f>
        <v>Senior Engineer</v>
      </c>
      <c r="G210" s="16" t="s">
        <v>178</v>
      </c>
      <c r="H210" s="16" t="str">
        <f>IFERROR(INDEX(competency_model!$C$2:$C$25,MATCH(G210,competency_model!$A$2:$A$25,0)),"")</f>
        <v>Stakeholder Communication</v>
      </c>
      <c r="I210" s="16" t="str">
        <f>IFERROR(INDEX(competency_model!$D$2:$D$25,MATCH(G210,competency_model!$A$2:$A$25,0)),"")</f>
        <v>Non-Technical Explanation</v>
      </c>
      <c r="J210" s="16">
        <f>IFERROR(INDEX(competency_model!$F$2:$F$25,MATCH(G210,competency_model!$A$2:$A$25,0)),"")</f>
        <v>3</v>
      </c>
      <c r="K210" s="16" t="str">
        <f>IFERROR(INDEX(competency_model!$G$2:$G$25,MATCH(G210,competency_model!$A$2:$A$25,0)),"")</f>
        <v>Medium</v>
      </c>
      <c r="L210" s="21">
        <v>2</v>
      </c>
      <c r="M210" s="21">
        <f t="shared" si="18"/>
        <v>1</v>
      </c>
      <c r="N210" s="16" t="str">
        <f t="shared" si="19"/>
        <v>Minor</v>
      </c>
      <c r="O210" s="21">
        <f t="shared" si="20"/>
        <v>2</v>
      </c>
      <c r="P210" s="21">
        <f t="shared" si="21"/>
        <v>2</v>
      </c>
      <c r="Q210" s="16" t="str">
        <f t="shared" si="22"/>
        <v>Development Needed</v>
      </c>
      <c r="R210" s="16" t="s">
        <v>228</v>
      </c>
      <c r="S210" s="23">
        <v>46071.638450509257</v>
      </c>
      <c r="T210" s="25">
        <f t="shared" ca="1" si="23"/>
        <v>130.36154949074262</v>
      </c>
      <c r="U210" s="16" t="s">
        <v>229</v>
      </c>
      <c r="V210" s="16" t="s">
        <v>233</v>
      </c>
      <c r="W210" s="6" t="str">
        <f ca="1">IF(R210="Missing","Missing evidence",IF(T210&gt;365,"Stale assessment",IF(COUNTIFS($B$2:$B$264,B210,$G$2:$G$264,G210)&gt;1,"Duplicate competency record",IF(INDEX(employees!$H$2:$H$37,MATCH(B210,employees!$A$2:$A$37,0))="Inactive","Inactive account","OK"))))</f>
        <v>OK</v>
      </c>
    </row>
    <row r="211" spans="1:23" ht="15" customHeight="1">
      <c r="A211" s="5" t="s">
        <v>440</v>
      </c>
      <c r="B211" s="16" t="s">
        <v>124</v>
      </c>
      <c r="C211" s="16" t="str">
        <f>IFERROR(INDEX(employees!$B$2:$B$37,MATCH(B211,employees!$A$2:$A$37,0)),"")</f>
        <v>Jamie Nguyen</v>
      </c>
      <c r="D211" s="16" t="str">
        <f>IFERROR(INDEX(employees!$C$2:$C$37,MATCH(B211,employees!$A$2:$A$37,0)),"")</f>
        <v>Chief Engineer Office</v>
      </c>
      <c r="E211" s="16" t="str">
        <f>IFERROR(INDEX(employees!$D$2:$D$37,MATCH(B211,employees!$A$2:$A$37,0)),"")</f>
        <v>Engineering Management</v>
      </c>
      <c r="F211" s="16" t="str">
        <f>IFERROR(INDEX(employees!$E$2:$E$37,MATCH(B211,employees!$A$2:$A$37,0)),"")</f>
        <v>Senior Engineer</v>
      </c>
      <c r="G211" s="16" t="s">
        <v>197</v>
      </c>
      <c r="H211" s="16" t="str">
        <f>IFERROR(INDEX(competency_model!$C$2:$C$25,MATCH(G211,competency_model!$A$2:$A$25,0)),"")</f>
        <v>User Support</v>
      </c>
      <c r="I211" s="16" t="str">
        <f>IFERROR(INDEX(competency_model!$D$2:$D$25,MATCH(G211,competency_model!$A$2:$A$25,0)),"")</f>
        <v>Competency Tool User Support</v>
      </c>
      <c r="J211" s="16">
        <f>IFERROR(INDEX(competency_model!$F$2:$F$25,MATCH(G211,competency_model!$A$2:$A$25,0)),"")</f>
        <v>3</v>
      </c>
      <c r="K211" s="16" t="str">
        <f>IFERROR(INDEX(competency_model!$G$2:$G$25,MATCH(G211,competency_model!$A$2:$A$25,0)),"")</f>
        <v>Medium</v>
      </c>
      <c r="L211" s="21">
        <v>1</v>
      </c>
      <c r="M211" s="21">
        <f t="shared" si="18"/>
        <v>2</v>
      </c>
      <c r="N211" s="16" t="str">
        <f t="shared" si="19"/>
        <v>Moderate</v>
      </c>
      <c r="O211" s="21">
        <f t="shared" si="20"/>
        <v>2</v>
      </c>
      <c r="P211" s="21">
        <f t="shared" si="21"/>
        <v>4</v>
      </c>
      <c r="Q211" s="16" t="str">
        <f t="shared" si="22"/>
        <v>Development Needed</v>
      </c>
      <c r="R211" s="16" t="s">
        <v>228</v>
      </c>
      <c r="S211" s="23">
        <v>46058.896480891206</v>
      </c>
      <c r="T211" s="25">
        <f t="shared" ca="1" si="23"/>
        <v>143.10351910879399</v>
      </c>
      <c r="U211" s="16" t="s">
        <v>223</v>
      </c>
      <c r="V211" s="16" t="s">
        <v>239</v>
      </c>
      <c r="W211" s="6" t="str">
        <f ca="1">IF(R211="Missing","Missing evidence",IF(T211&gt;365,"Stale assessment",IF(COUNTIFS($B$2:$B$264,B211,$G$2:$G$264,G211)&gt;1,"Duplicate competency record",IF(INDEX(employees!$H$2:$H$37,MATCH(B211,employees!$A$2:$A$37,0))="Inactive","Inactive account","OK"))))</f>
        <v>OK</v>
      </c>
    </row>
    <row r="212" spans="1:23" ht="15" customHeight="1">
      <c r="A212" s="5" t="s">
        <v>441</v>
      </c>
      <c r="B212" s="16" t="s">
        <v>124</v>
      </c>
      <c r="C212" s="16" t="str">
        <f>IFERROR(INDEX(employees!$B$2:$B$37,MATCH(B212,employees!$A$2:$A$37,0)),"")</f>
        <v>Jamie Nguyen</v>
      </c>
      <c r="D212" s="16" t="str">
        <f>IFERROR(INDEX(employees!$C$2:$C$37,MATCH(B212,employees!$A$2:$A$37,0)),"")</f>
        <v>Chief Engineer Office</v>
      </c>
      <c r="E212" s="16" t="str">
        <f>IFERROR(INDEX(employees!$D$2:$D$37,MATCH(B212,employees!$A$2:$A$37,0)),"")</f>
        <v>Engineering Management</v>
      </c>
      <c r="F212" s="16" t="str">
        <f>IFERROR(INDEX(employees!$E$2:$E$37,MATCH(B212,employees!$A$2:$A$37,0)),"")</f>
        <v>Senior Engineer</v>
      </c>
      <c r="G212" s="16" t="s">
        <v>194</v>
      </c>
      <c r="H212" s="16" t="str">
        <f>IFERROR(INDEX(competency_model!$C$2:$C$25,MATCH(G212,competency_model!$A$2:$A$25,0)),"")</f>
        <v>Competency Systems</v>
      </c>
      <c r="I212" s="16" t="str">
        <f>IFERROR(INDEX(competency_model!$D$2:$D$25,MATCH(G212,competency_model!$A$2:$A$25,0)),"")</f>
        <v>Competency Model Maintenance</v>
      </c>
      <c r="J212" s="16">
        <f>IFERROR(INDEX(competency_model!$F$2:$F$25,MATCH(G212,competency_model!$A$2:$A$25,0)),"")</f>
        <v>3</v>
      </c>
      <c r="K212" s="16" t="str">
        <f>IFERROR(INDEX(competency_model!$G$2:$G$25,MATCH(G212,competency_model!$A$2:$A$25,0)),"")</f>
        <v>High</v>
      </c>
      <c r="L212" s="21">
        <v>1</v>
      </c>
      <c r="M212" s="21">
        <f t="shared" si="18"/>
        <v>2</v>
      </c>
      <c r="N212" s="16" t="str">
        <f t="shared" si="19"/>
        <v>Moderate</v>
      </c>
      <c r="O212" s="21">
        <f t="shared" si="20"/>
        <v>3</v>
      </c>
      <c r="P212" s="21">
        <f t="shared" si="21"/>
        <v>6</v>
      </c>
      <c r="Q212" s="16" t="str">
        <f t="shared" si="22"/>
        <v>Development Needed</v>
      </c>
      <c r="R212" s="16" t="s">
        <v>225</v>
      </c>
      <c r="S212" s="23">
        <v>46021.166127314813</v>
      </c>
      <c r="T212" s="25">
        <f t="shared" ca="1" si="23"/>
        <v>180.83387268518709</v>
      </c>
      <c r="U212" s="16" t="s">
        <v>242</v>
      </c>
      <c r="V212" s="16" t="s">
        <v>239</v>
      </c>
      <c r="W212" s="6" t="str">
        <f ca="1">IF(R212="Missing","Missing evidence",IF(T212&gt;365,"Stale assessment",IF(COUNTIFS($B$2:$B$264,B212,$G$2:$G$264,G212)&gt;1,"Duplicate competency record",IF(INDEX(employees!$H$2:$H$37,MATCH(B212,employees!$A$2:$A$37,0))="Inactive","Inactive account","OK"))))</f>
        <v>OK</v>
      </c>
    </row>
    <row r="213" spans="1:23" ht="15" customHeight="1">
      <c r="A213" s="5" t="s">
        <v>442</v>
      </c>
      <c r="B213" s="16" t="s">
        <v>126</v>
      </c>
      <c r="C213" s="16" t="str">
        <f>IFERROR(INDEX(employees!$B$2:$B$37,MATCH(B213,employees!$A$2:$A$37,0)),"")</f>
        <v>Avery Nguyen</v>
      </c>
      <c r="D213" s="16" t="str">
        <f>IFERROR(INDEX(employees!$C$2:$C$37,MATCH(B213,employees!$A$2:$A$37,0)),"")</f>
        <v>Asset Management</v>
      </c>
      <c r="E213" s="16" t="str">
        <f>IFERROR(INDEX(employees!$D$2:$D$37,MATCH(B213,employees!$A$2:$A$37,0)),"")</f>
        <v>Testing &amp; Validation</v>
      </c>
      <c r="F213" s="16" t="str">
        <f>IFERROR(INDEX(employees!$E$2:$E$37,MATCH(B213,employees!$A$2:$A$37,0)),"")</f>
        <v>Lead Engineer</v>
      </c>
      <c r="G213" s="16" t="s">
        <v>171</v>
      </c>
      <c r="H213" s="16" t="str">
        <f>IFERROR(INDEX(competency_model!$C$2:$C$25,MATCH(G213,competency_model!$A$2:$A$25,0)),"")</f>
        <v>Testing &amp; Validation</v>
      </c>
      <c r="I213" s="16" t="str">
        <f>IFERROR(INDEX(competency_model!$D$2:$D$25,MATCH(G213,competency_model!$A$2:$A$25,0)),"")</f>
        <v>Test Evidence Review</v>
      </c>
      <c r="J213" s="16">
        <f>IFERROR(INDEX(competency_model!$F$2:$F$25,MATCH(G213,competency_model!$A$2:$A$25,0)),"")</f>
        <v>4</v>
      </c>
      <c r="K213" s="16" t="str">
        <f>IFERROR(INDEX(competency_model!$G$2:$G$25,MATCH(G213,competency_model!$A$2:$A$25,0)),"")</f>
        <v>High</v>
      </c>
      <c r="L213" s="21">
        <v>3</v>
      </c>
      <c r="M213" s="21">
        <f t="shared" si="18"/>
        <v>1</v>
      </c>
      <c r="N213" s="16" t="str">
        <f t="shared" si="19"/>
        <v>Minor</v>
      </c>
      <c r="O213" s="21">
        <f t="shared" si="20"/>
        <v>3</v>
      </c>
      <c r="P213" s="21">
        <f t="shared" si="21"/>
        <v>3</v>
      </c>
      <c r="Q213" s="16" t="str">
        <f t="shared" si="22"/>
        <v>Development Needed</v>
      </c>
      <c r="R213" s="16" t="s">
        <v>228</v>
      </c>
      <c r="S213" s="23">
        <v>46151.276854374999</v>
      </c>
      <c r="T213" s="25">
        <f t="shared" ca="1" si="23"/>
        <v>50.723145625001052</v>
      </c>
      <c r="U213" s="16" t="s">
        <v>223</v>
      </c>
      <c r="V213" s="16"/>
      <c r="W213" s="6" t="str">
        <f ca="1">IF(R213="Missing","Missing evidence",IF(T213&gt;365,"Stale assessment",IF(COUNTIFS($B$2:$B$264,B213,$G$2:$G$264,G213)&gt;1,"Duplicate competency record",IF(INDEX(employees!$H$2:$H$37,MATCH(B213,employees!$A$2:$A$37,0))="Inactive","Inactive account","OK"))))</f>
        <v>OK</v>
      </c>
    </row>
    <row r="214" spans="1:23" ht="15" customHeight="1">
      <c r="A214" s="5" t="s">
        <v>443</v>
      </c>
      <c r="B214" s="16" t="s">
        <v>126</v>
      </c>
      <c r="C214" s="16" t="str">
        <f>IFERROR(INDEX(employees!$B$2:$B$37,MATCH(B214,employees!$A$2:$A$37,0)),"")</f>
        <v>Avery Nguyen</v>
      </c>
      <c r="D214" s="16" t="str">
        <f>IFERROR(INDEX(employees!$C$2:$C$37,MATCH(B214,employees!$A$2:$A$37,0)),"")</f>
        <v>Asset Management</v>
      </c>
      <c r="E214" s="16" t="str">
        <f>IFERROR(INDEX(employees!$D$2:$D$37,MATCH(B214,employees!$A$2:$A$37,0)),"")</f>
        <v>Testing &amp; Validation</v>
      </c>
      <c r="F214" s="16" t="str">
        <f>IFERROR(INDEX(employees!$E$2:$E$37,MATCH(B214,employees!$A$2:$A$37,0)),"")</f>
        <v>Lead Engineer</v>
      </c>
      <c r="G214" s="16" t="s">
        <v>154</v>
      </c>
      <c r="H214" s="16" t="str">
        <f>IFERROR(INDEX(competency_model!$C$2:$C$25,MATCH(G214,competency_model!$A$2:$A$25,0)),"")</f>
        <v>Excel Reporting</v>
      </c>
      <c r="I214" s="16" t="str">
        <f>IFERROR(INDEX(competency_model!$D$2:$D$25,MATCH(G214,competency_model!$A$2:$A$25,0)),"")</f>
        <v>PivotTables and Power Query</v>
      </c>
      <c r="J214" s="16">
        <f>IFERROR(INDEX(competency_model!$F$2:$F$25,MATCH(G214,competency_model!$A$2:$A$25,0)),"")</f>
        <v>4</v>
      </c>
      <c r="K214" s="16" t="str">
        <f>IFERROR(INDEX(competency_model!$G$2:$G$25,MATCH(G214,competency_model!$A$2:$A$25,0)),"")</f>
        <v>High</v>
      </c>
      <c r="L214" s="21">
        <v>3</v>
      </c>
      <c r="M214" s="21">
        <f t="shared" si="18"/>
        <v>1</v>
      </c>
      <c r="N214" s="16" t="str">
        <f t="shared" si="19"/>
        <v>Minor</v>
      </c>
      <c r="O214" s="21">
        <f t="shared" si="20"/>
        <v>3</v>
      </c>
      <c r="P214" s="21">
        <f t="shared" si="21"/>
        <v>3</v>
      </c>
      <c r="Q214" s="16" t="str">
        <f t="shared" si="22"/>
        <v>Development Needed</v>
      </c>
      <c r="R214" s="16" t="s">
        <v>228</v>
      </c>
      <c r="S214" s="23">
        <v>46062.743447731482</v>
      </c>
      <c r="T214" s="25">
        <f t="shared" ca="1" si="23"/>
        <v>139.25655226851813</v>
      </c>
      <c r="U214" s="16" t="s">
        <v>223</v>
      </c>
      <c r="V214" s="16" t="s">
        <v>233</v>
      </c>
      <c r="W214" s="6" t="str">
        <f ca="1">IF(R214="Missing","Missing evidence",IF(T214&gt;365,"Stale assessment",IF(COUNTIFS($B$2:$B$264,B214,$G$2:$G$264,G214)&gt;1,"Duplicate competency record",IF(INDEX(employees!$H$2:$H$37,MATCH(B214,employees!$A$2:$A$37,0))="Inactive","Inactive account","OK"))))</f>
        <v>OK</v>
      </c>
    </row>
    <row r="215" spans="1:23" ht="15" customHeight="1">
      <c r="A215" s="5" t="s">
        <v>444</v>
      </c>
      <c r="B215" s="16" t="s">
        <v>126</v>
      </c>
      <c r="C215" s="16" t="str">
        <f>IFERROR(INDEX(employees!$B$2:$B$37,MATCH(B215,employees!$A$2:$A$37,0)),"")</f>
        <v>Avery Nguyen</v>
      </c>
      <c r="D215" s="16" t="str">
        <f>IFERROR(INDEX(employees!$C$2:$C$37,MATCH(B215,employees!$A$2:$A$37,0)),"")</f>
        <v>Asset Management</v>
      </c>
      <c r="E215" s="16" t="str">
        <f>IFERROR(INDEX(employees!$D$2:$D$37,MATCH(B215,employees!$A$2:$A$37,0)),"")</f>
        <v>Testing &amp; Validation</v>
      </c>
      <c r="F215" s="16" t="str">
        <f>IFERROR(INDEX(employees!$E$2:$E$37,MATCH(B215,employees!$A$2:$A$37,0)),"")</f>
        <v>Lead Engineer</v>
      </c>
      <c r="G215" s="16" t="s">
        <v>173</v>
      </c>
      <c r="H215" s="16" t="str">
        <f>IFERROR(INDEX(competency_model!$C$2:$C$25,MATCH(G215,competency_model!$A$2:$A$25,0)),"")</f>
        <v>Testing &amp; Validation</v>
      </c>
      <c r="I215" s="16" t="str">
        <f>IFERROR(INDEX(competency_model!$D$2:$D$25,MATCH(G215,competency_model!$A$2:$A$25,0)),"")</f>
        <v>Defect Investigation</v>
      </c>
      <c r="J215" s="16">
        <f>IFERROR(INDEX(competency_model!$F$2:$F$25,MATCH(G215,competency_model!$A$2:$A$25,0)),"")</f>
        <v>3</v>
      </c>
      <c r="K215" s="16" t="str">
        <f>IFERROR(INDEX(competency_model!$G$2:$G$25,MATCH(G215,competency_model!$A$2:$A$25,0)),"")</f>
        <v>Medium</v>
      </c>
      <c r="L215" s="21">
        <v>1</v>
      </c>
      <c r="M215" s="21">
        <f t="shared" si="18"/>
        <v>2</v>
      </c>
      <c r="N215" s="16" t="str">
        <f t="shared" si="19"/>
        <v>Moderate</v>
      </c>
      <c r="O215" s="21">
        <f t="shared" si="20"/>
        <v>2</v>
      </c>
      <c r="P215" s="21">
        <f t="shared" si="21"/>
        <v>4</v>
      </c>
      <c r="Q215" s="16" t="str">
        <f t="shared" si="22"/>
        <v>Development Needed</v>
      </c>
      <c r="R215" s="16" t="s">
        <v>225</v>
      </c>
      <c r="S215" s="23">
        <v>46060.040684398147</v>
      </c>
      <c r="T215" s="25">
        <f t="shared" ca="1" si="23"/>
        <v>141.95931560185272</v>
      </c>
      <c r="U215" s="16" t="s">
        <v>223</v>
      </c>
      <c r="V215" s="16" t="s">
        <v>226</v>
      </c>
      <c r="W215" s="6" t="str">
        <f ca="1">IF(R215="Missing","Missing evidence",IF(T215&gt;365,"Stale assessment",IF(COUNTIFS($B$2:$B$264,B215,$G$2:$G$264,G215)&gt;1,"Duplicate competency record",IF(INDEX(employees!$H$2:$H$37,MATCH(B215,employees!$A$2:$A$37,0))="Inactive","Inactive account","OK"))))</f>
        <v>OK</v>
      </c>
    </row>
    <row r="216" spans="1:23" ht="15" customHeight="1">
      <c r="A216" s="5" t="s">
        <v>445</v>
      </c>
      <c r="B216" s="16" t="s">
        <v>126</v>
      </c>
      <c r="C216" s="16" t="str">
        <f>IFERROR(INDEX(employees!$B$2:$B$37,MATCH(B216,employees!$A$2:$A$37,0)),"")</f>
        <v>Avery Nguyen</v>
      </c>
      <c r="D216" s="16" t="str">
        <f>IFERROR(INDEX(employees!$C$2:$C$37,MATCH(B216,employees!$A$2:$A$37,0)),"")</f>
        <v>Asset Management</v>
      </c>
      <c r="E216" s="16" t="str">
        <f>IFERROR(INDEX(employees!$D$2:$D$37,MATCH(B216,employees!$A$2:$A$37,0)),"")</f>
        <v>Testing &amp; Validation</v>
      </c>
      <c r="F216" s="16" t="str">
        <f>IFERROR(INDEX(employees!$E$2:$E$37,MATCH(B216,employees!$A$2:$A$37,0)),"")</f>
        <v>Lead Engineer</v>
      </c>
      <c r="G216" s="16" t="s">
        <v>189</v>
      </c>
      <c r="H216" s="16" t="str">
        <f>IFERROR(INDEX(competency_model!$C$2:$C$25,MATCH(G216,competency_model!$A$2:$A$25,0)),"")</f>
        <v>Data Quality</v>
      </c>
      <c r="I216" s="16" t="str">
        <f>IFERROR(INDEX(competency_model!$D$2:$D$25,MATCH(G216,competency_model!$A$2:$A$25,0)),"")</f>
        <v>Duplicate and Missing Value Checks</v>
      </c>
      <c r="J216" s="16">
        <f>IFERROR(INDEX(competency_model!$F$2:$F$25,MATCH(G216,competency_model!$A$2:$A$25,0)),"")</f>
        <v>4</v>
      </c>
      <c r="K216" s="16" t="str">
        <f>IFERROR(INDEX(competency_model!$G$2:$G$25,MATCH(G216,competency_model!$A$2:$A$25,0)),"")</f>
        <v>High</v>
      </c>
      <c r="L216" s="21">
        <v>3</v>
      </c>
      <c r="M216" s="21">
        <f t="shared" si="18"/>
        <v>1</v>
      </c>
      <c r="N216" s="16" t="str">
        <f t="shared" si="19"/>
        <v>Minor</v>
      </c>
      <c r="O216" s="21">
        <f t="shared" si="20"/>
        <v>3</v>
      </c>
      <c r="P216" s="21">
        <f t="shared" si="21"/>
        <v>3</v>
      </c>
      <c r="Q216" s="16" t="str">
        <f t="shared" si="22"/>
        <v>Development Needed</v>
      </c>
      <c r="R216" s="16" t="s">
        <v>228</v>
      </c>
      <c r="S216" s="23">
        <v>45716.04049122685</v>
      </c>
      <c r="T216" s="25">
        <f t="shared" ca="1" si="23"/>
        <v>485.95950877315045</v>
      </c>
      <c r="U216" s="16" t="s">
        <v>223</v>
      </c>
      <c r="V216" s="16" t="s">
        <v>226</v>
      </c>
      <c r="W216" s="6" t="str">
        <f ca="1">IF(R216="Missing","Missing evidence",IF(T216&gt;365,"Stale assessment",IF(COUNTIFS($B$2:$B$264,B216,$G$2:$G$264,G216)&gt;1,"Duplicate competency record",IF(INDEX(employees!$H$2:$H$37,MATCH(B216,employees!$A$2:$A$37,0))="Inactive","Inactive account","OK"))))</f>
        <v>Stale assessment</v>
      </c>
    </row>
    <row r="217" spans="1:23" ht="15" customHeight="1">
      <c r="A217" s="5" t="s">
        <v>446</v>
      </c>
      <c r="B217" s="16" t="s">
        <v>126</v>
      </c>
      <c r="C217" s="16" t="str">
        <f>IFERROR(INDEX(employees!$B$2:$B$37,MATCH(B217,employees!$A$2:$A$37,0)),"")</f>
        <v>Avery Nguyen</v>
      </c>
      <c r="D217" s="16" t="str">
        <f>IFERROR(INDEX(employees!$C$2:$C$37,MATCH(B217,employees!$A$2:$A$37,0)),"")</f>
        <v>Asset Management</v>
      </c>
      <c r="E217" s="16" t="str">
        <f>IFERROR(INDEX(employees!$D$2:$D$37,MATCH(B217,employees!$A$2:$A$37,0)),"")</f>
        <v>Testing &amp; Validation</v>
      </c>
      <c r="F217" s="16" t="str">
        <f>IFERROR(INDEX(employees!$E$2:$E$37,MATCH(B217,employees!$A$2:$A$37,0)),"")</f>
        <v>Lead Engineer</v>
      </c>
      <c r="G217" s="16" t="s">
        <v>175</v>
      </c>
      <c r="H217" s="16" t="str">
        <f>IFERROR(INDEX(competency_model!$C$2:$C$25,MATCH(G217,competency_model!$A$2:$A$25,0)),"")</f>
        <v>Safety / Compliance</v>
      </c>
      <c r="I217" s="16" t="str">
        <f>IFERROR(INDEX(competency_model!$D$2:$D$25,MATCH(G217,competency_model!$A$2:$A$25,0)),"")</f>
        <v>Engineering Safety Awareness</v>
      </c>
      <c r="J217" s="16">
        <f>IFERROR(INDEX(competency_model!$F$2:$F$25,MATCH(G217,competency_model!$A$2:$A$25,0)),"")</f>
        <v>4</v>
      </c>
      <c r="K217" s="16" t="str">
        <f>IFERROR(INDEX(competency_model!$G$2:$G$25,MATCH(G217,competency_model!$A$2:$A$25,0)),"")</f>
        <v>High</v>
      </c>
      <c r="L217" s="21">
        <v>3</v>
      </c>
      <c r="M217" s="21">
        <f t="shared" si="18"/>
        <v>1</v>
      </c>
      <c r="N217" s="16" t="str">
        <f t="shared" si="19"/>
        <v>Minor</v>
      </c>
      <c r="O217" s="21">
        <f t="shared" si="20"/>
        <v>3</v>
      </c>
      <c r="P217" s="21">
        <f t="shared" si="21"/>
        <v>3</v>
      </c>
      <c r="Q217" s="16" t="str">
        <f t="shared" si="22"/>
        <v>Development Needed</v>
      </c>
      <c r="R217" s="16" t="s">
        <v>228</v>
      </c>
      <c r="S217" s="23">
        <v>45723.391815312498</v>
      </c>
      <c r="T217" s="25">
        <f t="shared" ca="1" si="23"/>
        <v>478.60818468750222</v>
      </c>
      <c r="U217" s="16" t="s">
        <v>223</v>
      </c>
      <c r="V217" s="16" t="s">
        <v>233</v>
      </c>
      <c r="W217" s="6" t="str">
        <f ca="1">IF(R217="Missing","Missing evidence",IF(T217&gt;365,"Stale assessment",IF(COUNTIFS($B$2:$B$264,B217,$G$2:$G$264,G217)&gt;1,"Duplicate competency record",IF(INDEX(employees!$H$2:$H$37,MATCH(B217,employees!$A$2:$A$37,0))="Inactive","Inactive account","OK"))))</f>
        <v>Stale assessment</v>
      </c>
    </row>
    <row r="218" spans="1:23" ht="15" customHeight="1">
      <c r="A218" s="5" t="s">
        <v>447</v>
      </c>
      <c r="B218" s="16" t="s">
        <v>126</v>
      </c>
      <c r="C218" s="16" t="str">
        <f>IFERROR(INDEX(employees!$B$2:$B$37,MATCH(B218,employees!$A$2:$A$37,0)),"")</f>
        <v>Avery Nguyen</v>
      </c>
      <c r="D218" s="16" t="str">
        <f>IFERROR(INDEX(employees!$C$2:$C$37,MATCH(B218,employees!$A$2:$A$37,0)),"")</f>
        <v>Asset Management</v>
      </c>
      <c r="E218" s="16" t="str">
        <f>IFERROR(INDEX(employees!$D$2:$D$37,MATCH(B218,employees!$A$2:$A$37,0)),"")</f>
        <v>Testing &amp; Validation</v>
      </c>
      <c r="F218" s="16" t="str">
        <f>IFERROR(INDEX(employees!$E$2:$E$37,MATCH(B218,employees!$A$2:$A$37,0)),"")</f>
        <v>Lead Engineer</v>
      </c>
      <c r="G218" s="16" t="s">
        <v>197</v>
      </c>
      <c r="H218" s="16" t="str">
        <f>IFERROR(INDEX(competency_model!$C$2:$C$25,MATCH(G218,competency_model!$A$2:$A$25,0)),"")</f>
        <v>User Support</v>
      </c>
      <c r="I218" s="16" t="str">
        <f>IFERROR(INDEX(competency_model!$D$2:$D$25,MATCH(G218,competency_model!$A$2:$A$25,0)),"")</f>
        <v>Competency Tool User Support</v>
      </c>
      <c r="J218" s="16">
        <f>IFERROR(INDEX(competency_model!$F$2:$F$25,MATCH(G218,competency_model!$A$2:$A$25,0)),"")</f>
        <v>3</v>
      </c>
      <c r="K218" s="16" t="str">
        <f>IFERROR(INDEX(competency_model!$G$2:$G$25,MATCH(G218,competency_model!$A$2:$A$25,0)),"")</f>
        <v>Medium</v>
      </c>
      <c r="L218" s="21">
        <v>1</v>
      </c>
      <c r="M218" s="21">
        <f t="shared" si="18"/>
        <v>2</v>
      </c>
      <c r="N218" s="16" t="str">
        <f t="shared" si="19"/>
        <v>Moderate</v>
      </c>
      <c r="O218" s="21">
        <f t="shared" si="20"/>
        <v>2</v>
      </c>
      <c r="P218" s="21">
        <f t="shared" si="21"/>
        <v>4</v>
      </c>
      <c r="Q218" s="16" t="str">
        <f t="shared" si="22"/>
        <v>Development Needed</v>
      </c>
      <c r="R218" s="16" t="s">
        <v>225</v>
      </c>
      <c r="S218" s="23">
        <v>46042.601200798614</v>
      </c>
      <c r="T218" s="25">
        <f t="shared" ca="1" si="23"/>
        <v>159.39879920138628</v>
      </c>
      <c r="U218" s="16" t="s">
        <v>223</v>
      </c>
      <c r="V218" s="16"/>
      <c r="W218" s="6" t="str">
        <f ca="1">IF(R218="Missing","Missing evidence",IF(T218&gt;365,"Stale assessment",IF(COUNTIFS($B$2:$B$264,B218,$G$2:$G$264,G218)&gt;1,"Duplicate competency record",IF(INDEX(employees!$H$2:$H$37,MATCH(B218,employees!$A$2:$A$37,0))="Inactive","Inactive account","OK"))))</f>
        <v>OK</v>
      </c>
    </row>
    <row r="219" spans="1:23" ht="15" customHeight="1">
      <c r="A219" s="5" t="s">
        <v>448</v>
      </c>
      <c r="B219" s="16" t="s">
        <v>126</v>
      </c>
      <c r="C219" s="16" t="str">
        <f>IFERROR(INDEX(employees!$B$2:$B$37,MATCH(B219,employees!$A$2:$A$37,0)),"")</f>
        <v>Avery Nguyen</v>
      </c>
      <c r="D219" s="16" t="str">
        <f>IFERROR(INDEX(employees!$C$2:$C$37,MATCH(B219,employees!$A$2:$A$37,0)),"")</f>
        <v>Asset Management</v>
      </c>
      <c r="E219" s="16" t="str">
        <f>IFERROR(INDEX(employees!$D$2:$D$37,MATCH(B219,employees!$A$2:$A$37,0)),"")</f>
        <v>Testing &amp; Validation</v>
      </c>
      <c r="F219" s="16" t="str">
        <f>IFERROR(INDEX(employees!$E$2:$E$37,MATCH(B219,employees!$A$2:$A$37,0)),"")</f>
        <v>Lead Engineer</v>
      </c>
      <c r="G219" s="16" t="s">
        <v>160</v>
      </c>
      <c r="H219" s="16" t="str">
        <f>IFERROR(INDEX(competency_model!$C$2:$C$25,MATCH(G219,competency_model!$A$2:$A$25,0)),"")</f>
        <v>PowerPoint Presentation</v>
      </c>
      <c r="I219" s="16" t="str">
        <f>IFERROR(INDEX(competency_model!$D$2:$D$25,MATCH(G219,competency_model!$A$2:$A$25,0)),"")</f>
        <v>Leadership Storytelling</v>
      </c>
      <c r="J219" s="16">
        <f>IFERROR(INDEX(competency_model!$F$2:$F$25,MATCH(G219,competency_model!$A$2:$A$25,0)),"")</f>
        <v>3</v>
      </c>
      <c r="K219" s="16" t="str">
        <f>IFERROR(INDEX(competency_model!$G$2:$G$25,MATCH(G219,competency_model!$A$2:$A$25,0)),"")</f>
        <v>Medium</v>
      </c>
      <c r="L219" s="21">
        <v>1</v>
      </c>
      <c r="M219" s="21">
        <f t="shared" si="18"/>
        <v>2</v>
      </c>
      <c r="N219" s="16" t="str">
        <f t="shared" si="19"/>
        <v>Moderate</v>
      </c>
      <c r="O219" s="21">
        <f t="shared" si="20"/>
        <v>2</v>
      </c>
      <c r="P219" s="21">
        <f t="shared" si="21"/>
        <v>4</v>
      </c>
      <c r="Q219" s="16" t="str">
        <f t="shared" si="22"/>
        <v>Development Needed</v>
      </c>
      <c r="R219" s="16" t="s">
        <v>222</v>
      </c>
      <c r="S219" s="23">
        <v>46017.732339525464</v>
      </c>
      <c r="T219" s="25">
        <f t="shared" ca="1" si="23"/>
        <v>184.26766047453566</v>
      </c>
      <c r="U219" s="16" t="s">
        <v>223</v>
      </c>
      <c r="V219" s="16" t="s">
        <v>239</v>
      </c>
      <c r="W219" s="6" t="str">
        <f>IF(R219="Missing","Missing evidence",IF(T219&gt;365,"Stale assessment",IF(COUNTIFS($B$2:$B$264,B219,$G$2:$G$264,G219)&gt;1,"Duplicate competency record",IF(INDEX(employees!$H$2:$H$37,MATCH(B219,employees!$A$2:$A$37,0))="Inactive","Inactive account","OK"))))</f>
        <v>Missing evidence</v>
      </c>
    </row>
    <row r="220" spans="1:23" ht="15" customHeight="1">
      <c r="A220" s="5" t="s">
        <v>449</v>
      </c>
      <c r="B220" s="16" t="s">
        <v>126</v>
      </c>
      <c r="C220" s="16" t="str">
        <f>IFERROR(INDEX(employees!$B$2:$B$37,MATCH(B220,employees!$A$2:$A$37,0)),"")</f>
        <v>Avery Nguyen</v>
      </c>
      <c r="D220" s="16" t="str">
        <f>IFERROR(INDEX(employees!$C$2:$C$37,MATCH(B220,employees!$A$2:$A$37,0)),"")</f>
        <v>Asset Management</v>
      </c>
      <c r="E220" s="16" t="str">
        <f>IFERROR(INDEX(employees!$D$2:$D$37,MATCH(B220,employees!$A$2:$A$37,0)),"")</f>
        <v>Testing &amp; Validation</v>
      </c>
      <c r="F220" s="16" t="str">
        <f>IFERROR(INDEX(employees!$E$2:$E$37,MATCH(B220,employees!$A$2:$A$37,0)),"")</f>
        <v>Lead Engineer</v>
      </c>
      <c r="G220" s="16" t="s">
        <v>178</v>
      </c>
      <c r="H220" s="16" t="str">
        <f>IFERROR(INDEX(competency_model!$C$2:$C$25,MATCH(G220,competency_model!$A$2:$A$25,0)),"")</f>
        <v>Stakeholder Communication</v>
      </c>
      <c r="I220" s="16" t="str">
        <f>IFERROR(INDEX(competency_model!$D$2:$D$25,MATCH(G220,competency_model!$A$2:$A$25,0)),"")</f>
        <v>Non-Technical Explanation</v>
      </c>
      <c r="J220" s="16">
        <f>IFERROR(INDEX(competency_model!$F$2:$F$25,MATCH(G220,competency_model!$A$2:$A$25,0)),"")</f>
        <v>3</v>
      </c>
      <c r="K220" s="16" t="str">
        <f>IFERROR(INDEX(competency_model!$G$2:$G$25,MATCH(G220,competency_model!$A$2:$A$25,0)),"")</f>
        <v>Medium</v>
      </c>
      <c r="L220" s="21">
        <v>4</v>
      </c>
      <c r="M220" s="21">
        <f t="shared" si="18"/>
        <v>0</v>
      </c>
      <c r="N220" s="16" t="str">
        <f t="shared" si="19"/>
        <v>No Gap</v>
      </c>
      <c r="O220" s="21">
        <f t="shared" si="20"/>
        <v>2</v>
      </c>
      <c r="P220" s="21">
        <f t="shared" si="21"/>
        <v>0</v>
      </c>
      <c r="Q220" s="16" t="str">
        <f t="shared" si="22"/>
        <v>Ready</v>
      </c>
      <c r="R220" s="16" t="s">
        <v>225</v>
      </c>
      <c r="S220" s="23">
        <v>46149.697723067133</v>
      </c>
      <c r="T220" s="25">
        <f t="shared" ca="1" si="23"/>
        <v>52.302276932867244</v>
      </c>
      <c r="U220" s="16" t="s">
        <v>223</v>
      </c>
      <c r="V220" s="16" t="s">
        <v>231</v>
      </c>
      <c r="W220" s="6" t="str">
        <f ca="1">IF(R220="Missing","Missing evidence",IF(T220&gt;365,"Stale assessment",IF(COUNTIFS($B$2:$B$264,B220,$G$2:$G$264,G220)&gt;1,"Duplicate competency record",IF(INDEX(employees!$H$2:$H$37,MATCH(B220,employees!$A$2:$A$37,0))="Inactive","Inactive account","OK"))))</f>
        <v>OK</v>
      </c>
    </row>
    <row r="221" spans="1:23" ht="15" customHeight="1">
      <c r="A221" s="5" t="s">
        <v>450</v>
      </c>
      <c r="B221" s="16" t="s">
        <v>128</v>
      </c>
      <c r="C221" s="16" t="str">
        <f>IFERROR(INDEX(employees!$B$2:$B$37,MATCH(B221,employees!$A$2:$A$37,0)),"")</f>
        <v>Morgan Patel</v>
      </c>
      <c r="D221" s="16" t="str">
        <f>IFERROR(INDEX(employees!$C$2:$C$37,MATCH(B221,employees!$A$2:$A$37,0)),"")</f>
        <v>Chief Engineer Office</v>
      </c>
      <c r="E221" s="16" t="str">
        <f>IFERROR(INDEX(employees!$D$2:$D$37,MATCH(B221,employees!$A$2:$A$37,0)),"")</f>
        <v>Testing &amp; Validation</v>
      </c>
      <c r="F221" s="16" t="str">
        <f>IFERROR(INDEX(employees!$E$2:$E$37,MATCH(B221,employees!$A$2:$A$37,0)),"")</f>
        <v>Engineer</v>
      </c>
      <c r="G221" s="16" t="s">
        <v>163</v>
      </c>
      <c r="H221" s="16" t="str">
        <f>IFERROR(INDEX(competency_model!$C$2:$C$25,MATCH(G221,competency_model!$A$2:$A$25,0)),"")</f>
        <v>Engineering Documentation</v>
      </c>
      <c r="I221" s="16" t="str">
        <f>IFERROR(INDEX(competency_model!$D$2:$D$25,MATCH(G221,competency_model!$A$2:$A$25,0)),"")</f>
        <v>Technical Documentation</v>
      </c>
      <c r="J221" s="16">
        <f>IFERROR(INDEX(competency_model!$F$2:$F$25,MATCH(G221,competency_model!$A$2:$A$25,0)),"")</f>
        <v>4</v>
      </c>
      <c r="K221" s="16" t="str">
        <f>IFERROR(INDEX(competency_model!$G$2:$G$25,MATCH(G221,competency_model!$A$2:$A$25,0)),"")</f>
        <v>High</v>
      </c>
      <c r="L221" s="21">
        <v>2</v>
      </c>
      <c r="M221" s="21">
        <f t="shared" si="18"/>
        <v>2</v>
      </c>
      <c r="N221" s="16" t="str">
        <f t="shared" si="19"/>
        <v>Moderate</v>
      </c>
      <c r="O221" s="21">
        <f t="shared" si="20"/>
        <v>3</v>
      </c>
      <c r="P221" s="21">
        <f t="shared" si="21"/>
        <v>6</v>
      </c>
      <c r="Q221" s="16" t="str">
        <f t="shared" si="22"/>
        <v>Development Needed</v>
      </c>
      <c r="R221" s="16" t="s">
        <v>222</v>
      </c>
      <c r="S221" s="23">
        <v>46046.599101018517</v>
      </c>
      <c r="T221" s="25">
        <f t="shared" ca="1" si="23"/>
        <v>155.4008989814829</v>
      </c>
      <c r="U221" s="16" t="s">
        <v>223</v>
      </c>
      <c r="V221" s="16"/>
      <c r="W221" s="6" t="str">
        <f>IF(R221="Missing","Missing evidence",IF(T221&gt;365,"Stale assessment",IF(COUNTIFS($B$2:$B$264,B221,$G$2:$G$264,G221)&gt;1,"Duplicate competency record",IF(INDEX(employees!$H$2:$H$37,MATCH(B221,employees!$A$2:$A$37,0))="Inactive","Inactive account","OK"))))</f>
        <v>Missing evidence</v>
      </c>
    </row>
    <row r="222" spans="1:23" ht="15" customHeight="1">
      <c r="A222" s="5" t="s">
        <v>451</v>
      </c>
      <c r="B222" s="16" t="s">
        <v>128</v>
      </c>
      <c r="C222" s="16" t="str">
        <f>IFERROR(INDEX(employees!$B$2:$B$37,MATCH(B222,employees!$A$2:$A$37,0)),"")</f>
        <v>Morgan Patel</v>
      </c>
      <c r="D222" s="16" t="str">
        <f>IFERROR(INDEX(employees!$C$2:$C$37,MATCH(B222,employees!$A$2:$A$37,0)),"")</f>
        <v>Chief Engineer Office</v>
      </c>
      <c r="E222" s="16" t="str">
        <f>IFERROR(INDEX(employees!$D$2:$D$37,MATCH(B222,employees!$A$2:$A$37,0)),"")</f>
        <v>Testing &amp; Validation</v>
      </c>
      <c r="F222" s="16" t="str">
        <f>IFERROR(INDEX(employees!$E$2:$E$37,MATCH(B222,employees!$A$2:$A$37,0)),"")</f>
        <v>Engineer</v>
      </c>
      <c r="G222" s="16" t="s">
        <v>173</v>
      </c>
      <c r="H222" s="16" t="str">
        <f>IFERROR(INDEX(competency_model!$C$2:$C$25,MATCH(G222,competency_model!$A$2:$A$25,0)),"")</f>
        <v>Testing &amp; Validation</v>
      </c>
      <c r="I222" s="16" t="str">
        <f>IFERROR(INDEX(competency_model!$D$2:$D$25,MATCH(G222,competency_model!$A$2:$A$25,0)),"")</f>
        <v>Defect Investigation</v>
      </c>
      <c r="J222" s="16">
        <f>IFERROR(INDEX(competency_model!$F$2:$F$25,MATCH(G222,competency_model!$A$2:$A$25,0)),"")</f>
        <v>3</v>
      </c>
      <c r="K222" s="16" t="str">
        <f>IFERROR(INDEX(competency_model!$G$2:$G$25,MATCH(G222,competency_model!$A$2:$A$25,0)),"")</f>
        <v>Medium</v>
      </c>
      <c r="L222" s="21">
        <v>2</v>
      </c>
      <c r="M222" s="21">
        <f t="shared" si="18"/>
        <v>1</v>
      </c>
      <c r="N222" s="16" t="str">
        <f t="shared" si="19"/>
        <v>Minor</v>
      </c>
      <c r="O222" s="21">
        <f t="shared" si="20"/>
        <v>2</v>
      </c>
      <c r="P222" s="21">
        <f t="shared" si="21"/>
        <v>2</v>
      </c>
      <c r="Q222" s="16" t="str">
        <f t="shared" si="22"/>
        <v>Development Needed</v>
      </c>
      <c r="R222" s="16" t="s">
        <v>225</v>
      </c>
      <c r="S222" s="23">
        <v>45972.860219502312</v>
      </c>
      <c r="T222" s="25">
        <f t="shared" ca="1" si="23"/>
        <v>229.13978049768775</v>
      </c>
      <c r="U222" s="16" t="s">
        <v>242</v>
      </c>
      <c r="V222" s="16"/>
      <c r="W222" s="6" t="str">
        <f ca="1">IF(R222="Missing","Missing evidence",IF(T222&gt;365,"Stale assessment",IF(COUNTIFS($B$2:$B$264,B222,$G$2:$G$264,G222)&gt;1,"Duplicate competency record",IF(INDEX(employees!$H$2:$H$37,MATCH(B222,employees!$A$2:$A$37,0))="Inactive","Inactive account","OK"))))</f>
        <v>Inactive account</v>
      </c>
    </row>
    <row r="223" spans="1:23" ht="15" customHeight="1">
      <c r="A223" s="5" t="s">
        <v>452</v>
      </c>
      <c r="B223" s="16" t="s">
        <v>128</v>
      </c>
      <c r="C223" s="16" t="str">
        <f>IFERROR(INDEX(employees!$B$2:$B$37,MATCH(B223,employees!$A$2:$A$37,0)),"")</f>
        <v>Morgan Patel</v>
      </c>
      <c r="D223" s="16" t="str">
        <f>IFERROR(INDEX(employees!$C$2:$C$37,MATCH(B223,employees!$A$2:$A$37,0)),"")</f>
        <v>Chief Engineer Office</v>
      </c>
      <c r="E223" s="16" t="str">
        <f>IFERROR(INDEX(employees!$D$2:$D$37,MATCH(B223,employees!$A$2:$A$37,0)),"")</f>
        <v>Testing &amp; Validation</v>
      </c>
      <c r="F223" s="16" t="str">
        <f>IFERROR(INDEX(employees!$E$2:$E$37,MATCH(B223,employees!$A$2:$A$37,0)),"")</f>
        <v>Engineer</v>
      </c>
      <c r="G223" s="16" t="s">
        <v>189</v>
      </c>
      <c r="H223" s="16" t="str">
        <f>IFERROR(INDEX(competency_model!$C$2:$C$25,MATCH(G223,competency_model!$A$2:$A$25,0)),"")</f>
        <v>Data Quality</v>
      </c>
      <c r="I223" s="16" t="str">
        <f>IFERROR(INDEX(competency_model!$D$2:$D$25,MATCH(G223,competency_model!$A$2:$A$25,0)),"")</f>
        <v>Duplicate and Missing Value Checks</v>
      </c>
      <c r="J223" s="16">
        <f>IFERROR(INDEX(competency_model!$F$2:$F$25,MATCH(G223,competency_model!$A$2:$A$25,0)),"")</f>
        <v>4</v>
      </c>
      <c r="K223" s="16" t="str">
        <f>IFERROR(INDEX(competency_model!$G$2:$G$25,MATCH(G223,competency_model!$A$2:$A$25,0)),"")</f>
        <v>High</v>
      </c>
      <c r="L223" s="21">
        <v>1</v>
      </c>
      <c r="M223" s="21">
        <f t="shared" si="18"/>
        <v>3</v>
      </c>
      <c r="N223" s="16" t="str">
        <f t="shared" si="19"/>
        <v>Critical</v>
      </c>
      <c r="O223" s="21">
        <f t="shared" si="20"/>
        <v>3</v>
      </c>
      <c r="P223" s="21">
        <f t="shared" si="21"/>
        <v>9</v>
      </c>
      <c r="Q223" s="16" t="str">
        <f t="shared" si="22"/>
        <v>Development Needed</v>
      </c>
      <c r="R223" s="16" t="s">
        <v>228</v>
      </c>
      <c r="S223" s="23">
        <v>46016.841563391201</v>
      </c>
      <c r="T223" s="25">
        <f t="shared" ca="1" si="23"/>
        <v>185.15843660879909</v>
      </c>
      <c r="U223" s="16" t="s">
        <v>242</v>
      </c>
      <c r="V223" s="16"/>
      <c r="W223" s="6" t="str">
        <f ca="1">IF(R223="Missing","Missing evidence",IF(T223&gt;365,"Stale assessment",IF(COUNTIFS($B$2:$B$264,B223,$G$2:$G$264,G223)&gt;1,"Duplicate competency record",IF(INDEX(employees!$H$2:$H$37,MATCH(B223,employees!$A$2:$A$37,0))="Inactive","Inactive account","OK"))))</f>
        <v>Inactive account</v>
      </c>
    </row>
    <row r="224" spans="1:23" ht="15" customHeight="1">
      <c r="A224" s="5" t="s">
        <v>453</v>
      </c>
      <c r="B224" s="16" t="s">
        <v>128</v>
      </c>
      <c r="C224" s="16" t="str">
        <f>IFERROR(INDEX(employees!$B$2:$B$37,MATCH(B224,employees!$A$2:$A$37,0)),"")</f>
        <v>Morgan Patel</v>
      </c>
      <c r="D224" s="16" t="str">
        <f>IFERROR(INDEX(employees!$C$2:$C$37,MATCH(B224,employees!$A$2:$A$37,0)),"")</f>
        <v>Chief Engineer Office</v>
      </c>
      <c r="E224" s="16" t="str">
        <f>IFERROR(INDEX(employees!$D$2:$D$37,MATCH(B224,employees!$A$2:$A$37,0)),"")</f>
        <v>Testing &amp; Validation</v>
      </c>
      <c r="F224" s="16" t="str">
        <f>IFERROR(INDEX(employees!$E$2:$E$37,MATCH(B224,employees!$A$2:$A$37,0)),"")</f>
        <v>Engineer</v>
      </c>
      <c r="G224" s="16" t="s">
        <v>178</v>
      </c>
      <c r="H224" s="16" t="str">
        <f>IFERROR(INDEX(competency_model!$C$2:$C$25,MATCH(G224,competency_model!$A$2:$A$25,0)),"")</f>
        <v>Stakeholder Communication</v>
      </c>
      <c r="I224" s="16" t="str">
        <f>IFERROR(INDEX(competency_model!$D$2:$D$25,MATCH(G224,competency_model!$A$2:$A$25,0)),"")</f>
        <v>Non-Technical Explanation</v>
      </c>
      <c r="J224" s="16">
        <f>IFERROR(INDEX(competency_model!$F$2:$F$25,MATCH(G224,competency_model!$A$2:$A$25,0)),"")</f>
        <v>3</v>
      </c>
      <c r="K224" s="16" t="str">
        <f>IFERROR(INDEX(competency_model!$G$2:$G$25,MATCH(G224,competency_model!$A$2:$A$25,0)),"")</f>
        <v>Medium</v>
      </c>
      <c r="L224" s="21">
        <v>1</v>
      </c>
      <c r="M224" s="21">
        <f t="shared" si="18"/>
        <v>2</v>
      </c>
      <c r="N224" s="16" t="str">
        <f t="shared" si="19"/>
        <v>Moderate</v>
      </c>
      <c r="O224" s="21">
        <f t="shared" si="20"/>
        <v>2</v>
      </c>
      <c r="P224" s="21">
        <f t="shared" si="21"/>
        <v>4</v>
      </c>
      <c r="Q224" s="16" t="str">
        <f t="shared" si="22"/>
        <v>Development Needed</v>
      </c>
      <c r="R224" s="16" t="s">
        <v>228</v>
      </c>
      <c r="S224" s="23">
        <v>45994.055242511575</v>
      </c>
      <c r="T224" s="25">
        <f t="shared" ca="1" si="23"/>
        <v>207.94475748842524</v>
      </c>
      <c r="U224" s="16" t="s">
        <v>229</v>
      </c>
      <c r="V224" s="16" t="s">
        <v>233</v>
      </c>
      <c r="W224" s="6" t="str">
        <f ca="1">IF(R224="Missing","Missing evidence",IF(T224&gt;365,"Stale assessment",IF(COUNTIFS($B$2:$B$264,B224,$G$2:$G$264,G224)&gt;1,"Duplicate competency record",IF(INDEX(employees!$H$2:$H$37,MATCH(B224,employees!$A$2:$A$37,0))="Inactive","Inactive account","OK"))))</f>
        <v>Inactive account</v>
      </c>
    </row>
    <row r="225" spans="1:23" ht="15" customHeight="1">
      <c r="A225" s="5" t="s">
        <v>454</v>
      </c>
      <c r="B225" s="16" t="s">
        <v>128</v>
      </c>
      <c r="C225" s="16" t="str">
        <f>IFERROR(INDEX(employees!$B$2:$B$37,MATCH(B225,employees!$A$2:$A$37,0)),"")</f>
        <v>Morgan Patel</v>
      </c>
      <c r="D225" s="16" t="str">
        <f>IFERROR(INDEX(employees!$C$2:$C$37,MATCH(B225,employees!$A$2:$A$37,0)),"")</f>
        <v>Chief Engineer Office</v>
      </c>
      <c r="E225" s="16" t="str">
        <f>IFERROR(INDEX(employees!$D$2:$D$37,MATCH(B225,employees!$A$2:$A$37,0)),"")</f>
        <v>Testing &amp; Validation</v>
      </c>
      <c r="F225" s="16" t="str">
        <f>IFERROR(INDEX(employees!$E$2:$E$37,MATCH(B225,employees!$A$2:$A$37,0)),"")</f>
        <v>Engineer</v>
      </c>
      <c r="G225" s="16" t="s">
        <v>160</v>
      </c>
      <c r="H225" s="16" t="str">
        <f>IFERROR(INDEX(competency_model!$C$2:$C$25,MATCH(G225,competency_model!$A$2:$A$25,0)),"")</f>
        <v>PowerPoint Presentation</v>
      </c>
      <c r="I225" s="16" t="str">
        <f>IFERROR(INDEX(competency_model!$D$2:$D$25,MATCH(G225,competency_model!$A$2:$A$25,0)),"")</f>
        <v>Leadership Storytelling</v>
      </c>
      <c r="J225" s="16">
        <f>IFERROR(INDEX(competency_model!$F$2:$F$25,MATCH(G225,competency_model!$A$2:$A$25,0)),"")</f>
        <v>3</v>
      </c>
      <c r="K225" s="16" t="str">
        <f>IFERROR(INDEX(competency_model!$G$2:$G$25,MATCH(G225,competency_model!$A$2:$A$25,0)),"")</f>
        <v>Medium</v>
      </c>
      <c r="L225" s="21">
        <v>2</v>
      </c>
      <c r="M225" s="21">
        <f t="shared" si="18"/>
        <v>1</v>
      </c>
      <c r="N225" s="16" t="str">
        <f t="shared" si="19"/>
        <v>Minor</v>
      </c>
      <c r="O225" s="21">
        <f t="shared" si="20"/>
        <v>2</v>
      </c>
      <c r="P225" s="21">
        <f t="shared" si="21"/>
        <v>2</v>
      </c>
      <c r="Q225" s="16" t="str">
        <f t="shared" si="22"/>
        <v>Development Needed</v>
      </c>
      <c r="R225" s="16" t="s">
        <v>225</v>
      </c>
      <c r="S225" s="23">
        <v>46172.570635243057</v>
      </c>
      <c r="T225" s="25">
        <f t="shared" ca="1" si="23"/>
        <v>29.42936475694296</v>
      </c>
      <c r="U225" s="16" t="s">
        <v>242</v>
      </c>
      <c r="V225" s="16" t="s">
        <v>226</v>
      </c>
      <c r="W225" s="6" t="str">
        <f ca="1">IF(R225="Missing","Missing evidence",IF(T225&gt;365,"Stale assessment",IF(COUNTIFS($B$2:$B$264,B225,$G$2:$G$264,G225)&gt;1,"Duplicate competency record",IF(INDEX(employees!$H$2:$H$37,MATCH(B225,employees!$A$2:$A$37,0))="Inactive","Inactive account","OK"))))</f>
        <v>Inactive account</v>
      </c>
    </row>
    <row r="226" spans="1:23" ht="15" customHeight="1">
      <c r="A226" s="5" t="s">
        <v>455</v>
      </c>
      <c r="B226" s="16" t="s">
        <v>128</v>
      </c>
      <c r="C226" s="16" t="str">
        <f>IFERROR(INDEX(employees!$B$2:$B$37,MATCH(B226,employees!$A$2:$A$37,0)),"")</f>
        <v>Morgan Patel</v>
      </c>
      <c r="D226" s="16" t="str">
        <f>IFERROR(INDEX(employees!$C$2:$C$37,MATCH(B226,employees!$A$2:$A$37,0)),"")</f>
        <v>Chief Engineer Office</v>
      </c>
      <c r="E226" s="16" t="str">
        <f>IFERROR(INDEX(employees!$D$2:$D$37,MATCH(B226,employees!$A$2:$A$37,0)),"")</f>
        <v>Testing &amp; Validation</v>
      </c>
      <c r="F226" s="16" t="str">
        <f>IFERROR(INDEX(employees!$E$2:$E$37,MATCH(B226,employees!$A$2:$A$37,0)),"")</f>
        <v>Engineer</v>
      </c>
      <c r="G226" s="16" t="s">
        <v>192</v>
      </c>
      <c r="H226" s="16" t="str">
        <f>IFERROR(INDEX(competency_model!$C$2:$C$25,MATCH(G226,competency_model!$A$2:$A$25,0)),"")</f>
        <v>Data Quality</v>
      </c>
      <c r="I226" s="16" t="str">
        <f>IFERROR(INDEX(competency_model!$D$2:$D$25,MATCH(G226,competency_model!$A$2:$A$25,0)),"")</f>
        <v>Assessment Evidence Validation</v>
      </c>
      <c r="J226" s="16">
        <f>IFERROR(INDEX(competency_model!$F$2:$F$25,MATCH(G226,competency_model!$A$2:$A$25,0)),"")</f>
        <v>4</v>
      </c>
      <c r="K226" s="16" t="str">
        <f>IFERROR(INDEX(competency_model!$G$2:$G$25,MATCH(G226,competency_model!$A$2:$A$25,0)),"")</f>
        <v>High</v>
      </c>
      <c r="L226" s="21">
        <v>1</v>
      </c>
      <c r="M226" s="21">
        <f t="shared" si="18"/>
        <v>3</v>
      </c>
      <c r="N226" s="16" t="str">
        <f t="shared" si="19"/>
        <v>Critical</v>
      </c>
      <c r="O226" s="21">
        <f t="shared" si="20"/>
        <v>3</v>
      </c>
      <c r="P226" s="21">
        <f t="shared" si="21"/>
        <v>9</v>
      </c>
      <c r="Q226" s="16" t="str">
        <f t="shared" si="22"/>
        <v>Development Needed</v>
      </c>
      <c r="R226" s="16" t="s">
        <v>222</v>
      </c>
      <c r="S226" s="23">
        <v>46065.226026168981</v>
      </c>
      <c r="T226" s="25">
        <f t="shared" ca="1" si="23"/>
        <v>136.77397383101925</v>
      </c>
      <c r="U226" s="16" t="s">
        <v>223</v>
      </c>
      <c r="V226" s="16" t="s">
        <v>239</v>
      </c>
      <c r="W226" s="6" t="str">
        <f>IF(R226="Missing","Missing evidence",IF(T226&gt;365,"Stale assessment",IF(COUNTIFS($B$2:$B$264,B226,$G$2:$G$264,G226)&gt;1,"Duplicate competency record",IF(INDEX(employees!$H$2:$H$37,MATCH(B226,employees!$A$2:$A$37,0))="Inactive","Inactive account","OK"))))</f>
        <v>Missing evidence</v>
      </c>
    </row>
    <row r="227" spans="1:23" ht="15" customHeight="1">
      <c r="A227" s="5" t="s">
        <v>456</v>
      </c>
      <c r="B227" s="16" t="s">
        <v>129</v>
      </c>
      <c r="C227" s="16" t="str">
        <f>IFERROR(INDEX(employees!$B$2:$B$37,MATCH(B227,employees!$A$2:$A$37,0)),"")</f>
        <v>Avery Singh</v>
      </c>
      <c r="D227" s="16" t="str">
        <f>IFERROR(INDEX(employees!$C$2:$C$37,MATCH(B227,employees!$A$2:$A$37,0)),"")</f>
        <v>Protection &amp; Control</v>
      </c>
      <c r="E227" s="16" t="str">
        <f>IFERROR(INDEX(employees!$D$2:$D$37,MATCH(B227,employees!$A$2:$A$37,0)),"")</f>
        <v>Testing &amp; Validation</v>
      </c>
      <c r="F227" s="16" t="str">
        <f>IFERROR(INDEX(employees!$E$2:$E$37,MATCH(B227,employees!$A$2:$A$37,0)),"")</f>
        <v>Graduate</v>
      </c>
      <c r="G227" s="16" t="s">
        <v>189</v>
      </c>
      <c r="H227" s="16" t="str">
        <f>IFERROR(INDEX(competency_model!$C$2:$C$25,MATCH(G227,competency_model!$A$2:$A$25,0)),"")</f>
        <v>Data Quality</v>
      </c>
      <c r="I227" s="16" t="str">
        <f>IFERROR(INDEX(competency_model!$D$2:$D$25,MATCH(G227,competency_model!$A$2:$A$25,0)),"")</f>
        <v>Duplicate and Missing Value Checks</v>
      </c>
      <c r="J227" s="16">
        <f>IFERROR(INDEX(competency_model!$F$2:$F$25,MATCH(G227,competency_model!$A$2:$A$25,0)),"")</f>
        <v>4</v>
      </c>
      <c r="K227" s="16" t="str">
        <f>IFERROR(INDEX(competency_model!$G$2:$G$25,MATCH(G227,competency_model!$A$2:$A$25,0)),"")</f>
        <v>High</v>
      </c>
      <c r="L227" s="21">
        <v>3</v>
      </c>
      <c r="M227" s="21">
        <f t="shared" si="18"/>
        <v>1</v>
      </c>
      <c r="N227" s="16" t="str">
        <f t="shared" si="19"/>
        <v>Minor</v>
      </c>
      <c r="O227" s="21">
        <f t="shared" si="20"/>
        <v>3</v>
      </c>
      <c r="P227" s="21">
        <f t="shared" si="21"/>
        <v>3</v>
      </c>
      <c r="Q227" s="16" t="str">
        <f t="shared" si="22"/>
        <v>Development Needed</v>
      </c>
      <c r="R227" s="16" t="s">
        <v>228</v>
      </c>
      <c r="S227" s="23">
        <v>46165.453616261577</v>
      </c>
      <c r="T227" s="25">
        <f t="shared" ca="1" si="23"/>
        <v>36.546383738423174</v>
      </c>
      <c r="U227" s="16" t="s">
        <v>223</v>
      </c>
      <c r="V227" s="16"/>
      <c r="W227" s="6" t="str">
        <f ca="1">IF(R227="Missing","Missing evidence",IF(T227&gt;365,"Stale assessment",IF(COUNTIFS($B$2:$B$264,B227,$G$2:$G$264,G227)&gt;1,"Duplicate competency record",IF(INDEX(employees!$H$2:$H$37,MATCH(B227,employees!$A$2:$A$37,0))="Inactive","Inactive account","OK"))))</f>
        <v>OK</v>
      </c>
    </row>
    <row r="228" spans="1:23" ht="15" customHeight="1">
      <c r="A228" s="5" t="s">
        <v>457</v>
      </c>
      <c r="B228" s="16" t="s">
        <v>129</v>
      </c>
      <c r="C228" s="16" t="str">
        <f>IFERROR(INDEX(employees!$B$2:$B$37,MATCH(B228,employees!$A$2:$A$37,0)),"")</f>
        <v>Avery Singh</v>
      </c>
      <c r="D228" s="16" t="str">
        <f>IFERROR(INDEX(employees!$C$2:$C$37,MATCH(B228,employees!$A$2:$A$37,0)),"")</f>
        <v>Protection &amp; Control</v>
      </c>
      <c r="E228" s="16" t="str">
        <f>IFERROR(INDEX(employees!$D$2:$D$37,MATCH(B228,employees!$A$2:$A$37,0)),"")</f>
        <v>Testing &amp; Validation</v>
      </c>
      <c r="F228" s="16" t="str">
        <f>IFERROR(INDEX(employees!$E$2:$E$37,MATCH(B228,employees!$A$2:$A$37,0)),"")</f>
        <v>Graduate</v>
      </c>
      <c r="G228" s="16" t="s">
        <v>175</v>
      </c>
      <c r="H228" s="16" t="str">
        <f>IFERROR(INDEX(competency_model!$C$2:$C$25,MATCH(G228,competency_model!$A$2:$A$25,0)),"")</f>
        <v>Safety / Compliance</v>
      </c>
      <c r="I228" s="16" t="str">
        <f>IFERROR(INDEX(competency_model!$D$2:$D$25,MATCH(G228,competency_model!$A$2:$A$25,0)),"")</f>
        <v>Engineering Safety Awareness</v>
      </c>
      <c r="J228" s="16">
        <f>IFERROR(INDEX(competency_model!$F$2:$F$25,MATCH(G228,competency_model!$A$2:$A$25,0)),"")</f>
        <v>4</v>
      </c>
      <c r="K228" s="16" t="str">
        <f>IFERROR(INDEX(competency_model!$G$2:$G$25,MATCH(G228,competency_model!$A$2:$A$25,0)),"")</f>
        <v>High</v>
      </c>
      <c r="L228" s="21">
        <v>1</v>
      </c>
      <c r="M228" s="21">
        <f t="shared" si="18"/>
        <v>3</v>
      </c>
      <c r="N228" s="16" t="str">
        <f t="shared" si="19"/>
        <v>Critical</v>
      </c>
      <c r="O228" s="21">
        <f t="shared" si="20"/>
        <v>3</v>
      </c>
      <c r="P228" s="21">
        <f t="shared" si="21"/>
        <v>9</v>
      </c>
      <c r="Q228" s="16" t="str">
        <f t="shared" si="22"/>
        <v>Development Needed</v>
      </c>
      <c r="R228" s="16" t="s">
        <v>228</v>
      </c>
      <c r="S228" s="23">
        <v>46043.856125729166</v>
      </c>
      <c r="T228" s="25">
        <f t="shared" ca="1" si="23"/>
        <v>158.1438742708342</v>
      </c>
      <c r="U228" s="16" t="s">
        <v>223</v>
      </c>
      <c r="V228" s="16" t="s">
        <v>233</v>
      </c>
      <c r="W228" s="6" t="str">
        <f ca="1">IF(R228="Missing","Missing evidence",IF(T228&gt;365,"Stale assessment",IF(COUNTIFS($B$2:$B$264,B228,$G$2:$G$264,G228)&gt;1,"Duplicate competency record",IF(INDEX(employees!$H$2:$H$37,MATCH(B228,employees!$A$2:$A$37,0))="Inactive","Inactive account","OK"))))</f>
        <v>OK</v>
      </c>
    </row>
    <row r="229" spans="1:23" ht="15" customHeight="1">
      <c r="A229" s="5" t="s">
        <v>458</v>
      </c>
      <c r="B229" s="16" t="s">
        <v>129</v>
      </c>
      <c r="C229" s="16" t="str">
        <f>IFERROR(INDEX(employees!$B$2:$B$37,MATCH(B229,employees!$A$2:$A$37,0)),"")</f>
        <v>Avery Singh</v>
      </c>
      <c r="D229" s="16" t="str">
        <f>IFERROR(INDEX(employees!$C$2:$C$37,MATCH(B229,employees!$A$2:$A$37,0)),"")</f>
        <v>Protection &amp; Control</v>
      </c>
      <c r="E229" s="16" t="str">
        <f>IFERROR(INDEX(employees!$D$2:$D$37,MATCH(B229,employees!$A$2:$A$37,0)),"")</f>
        <v>Testing &amp; Validation</v>
      </c>
      <c r="F229" s="16" t="str">
        <f>IFERROR(INDEX(employees!$E$2:$E$37,MATCH(B229,employees!$A$2:$A$37,0)),"")</f>
        <v>Graduate</v>
      </c>
      <c r="G229" s="16" t="s">
        <v>163</v>
      </c>
      <c r="H229" s="16" t="str">
        <f>IFERROR(INDEX(competency_model!$C$2:$C$25,MATCH(G229,competency_model!$A$2:$A$25,0)),"")</f>
        <v>Engineering Documentation</v>
      </c>
      <c r="I229" s="16" t="str">
        <f>IFERROR(INDEX(competency_model!$D$2:$D$25,MATCH(G229,competency_model!$A$2:$A$25,0)),"")</f>
        <v>Technical Documentation</v>
      </c>
      <c r="J229" s="16">
        <f>IFERROR(INDEX(competency_model!$F$2:$F$25,MATCH(G229,competency_model!$A$2:$A$25,0)),"")</f>
        <v>4</v>
      </c>
      <c r="K229" s="16" t="str">
        <f>IFERROR(INDEX(competency_model!$G$2:$G$25,MATCH(G229,competency_model!$A$2:$A$25,0)),"")</f>
        <v>High</v>
      </c>
      <c r="L229" s="21">
        <v>2</v>
      </c>
      <c r="M229" s="21">
        <f t="shared" si="18"/>
        <v>2</v>
      </c>
      <c r="N229" s="16" t="str">
        <f t="shared" si="19"/>
        <v>Moderate</v>
      </c>
      <c r="O229" s="21">
        <f t="shared" si="20"/>
        <v>3</v>
      </c>
      <c r="P229" s="21">
        <f t="shared" si="21"/>
        <v>6</v>
      </c>
      <c r="Q229" s="16" t="str">
        <f t="shared" si="22"/>
        <v>Development Needed</v>
      </c>
      <c r="R229" s="16" t="s">
        <v>222</v>
      </c>
      <c r="S229" s="23">
        <v>45776.721424293981</v>
      </c>
      <c r="T229" s="25">
        <f t="shared" ca="1" si="23"/>
        <v>425.27857570601918</v>
      </c>
      <c r="U229" s="16" t="s">
        <v>242</v>
      </c>
      <c r="V229" s="16"/>
      <c r="W229" s="6" t="str">
        <f>IF(R229="Missing","Missing evidence",IF(T229&gt;365,"Stale assessment",IF(COUNTIFS($B$2:$B$264,B229,$G$2:$G$264,G229)&gt;1,"Duplicate competency record",IF(INDEX(employees!$H$2:$H$37,MATCH(B229,employees!$A$2:$A$37,0))="Inactive","Inactive account","OK"))))</f>
        <v>Missing evidence</v>
      </c>
    </row>
    <row r="230" spans="1:23" ht="15" customHeight="1">
      <c r="A230" s="5" t="s">
        <v>459</v>
      </c>
      <c r="B230" s="16" t="s">
        <v>129</v>
      </c>
      <c r="C230" s="16" t="str">
        <f>IFERROR(INDEX(employees!$B$2:$B$37,MATCH(B230,employees!$A$2:$A$37,0)),"")</f>
        <v>Avery Singh</v>
      </c>
      <c r="D230" s="16" t="str">
        <f>IFERROR(INDEX(employees!$C$2:$C$37,MATCH(B230,employees!$A$2:$A$37,0)),"")</f>
        <v>Protection &amp; Control</v>
      </c>
      <c r="E230" s="16" t="str">
        <f>IFERROR(INDEX(employees!$D$2:$D$37,MATCH(B230,employees!$A$2:$A$37,0)),"")</f>
        <v>Testing &amp; Validation</v>
      </c>
      <c r="F230" s="16" t="str">
        <f>IFERROR(INDEX(employees!$E$2:$E$37,MATCH(B230,employees!$A$2:$A$37,0)),"")</f>
        <v>Graduate</v>
      </c>
      <c r="G230" s="16" t="s">
        <v>178</v>
      </c>
      <c r="H230" s="16" t="str">
        <f>IFERROR(INDEX(competency_model!$C$2:$C$25,MATCH(G230,competency_model!$A$2:$A$25,0)),"")</f>
        <v>Stakeholder Communication</v>
      </c>
      <c r="I230" s="16" t="str">
        <f>IFERROR(INDEX(competency_model!$D$2:$D$25,MATCH(G230,competency_model!$A$2:$A$25,0)),"")</f>
        <v>Non-Technical Explanation</v>
      </c>
      <c r="J230" s="16">
        <f>IFERROR(INDEX(competency_model!$F$2:$F$25,MATCH(G230,competency_model!$A$2:$A$25,0)),"")</f>
        <v>3</v>
      </c>
      <c r="K230" s="16" t="str">
        <f>IFERROR(INDEX(competency_model!$G$2:$G$25,MATCH(G230,competency_model!$A$2:$A$25,0)),"")</f>
        <v>Medium</v>
      </c>
      <c r="L230" s="21">
        <v>3</v>
      </c>
      <c r="M230" s="21">
        <f t="shared" si="18"/>
        <v>0</v>
      </c>
      <c r="N230" s="16" t="str">
        <f t="shared" si="19"/>
        <v>No Gap</v>
      </c>
      <c r="O230" s="21">
        <f t="shared" si="20"/>
        <v>2</v>
      </c>
      <c r="P230" s="21">
        <f t="shared" si="21"/>
        <v>0</v>
      </c>
      <c r="Q230" s="16" t="str">
        <f t="shared" si="22"/>
        <v>Ready</v>
      </c>
      <c r="R230" s="16" t="s">
        <v>225</v>
      </c>
      <c r="S230" s="23">
        <v>46012.390675879629</v>
      </c>
      <c r="T230" s="25">
        <f t="shared" ca="1" si="23"/>
        <v>189.60932412037073</v>
      </c>
      <c r="U230" s="16" t="s">
        <v>223</v>
      </c>
      <c r="V230" s="16"/>
      <c r="W230" s="6" t="str">
        <f ca="1">IF(R230="Missing","Missing evidence",IF(T230&gt;365,"Stale assessment",IF(COUNTIFS($B$2:$B$264,B230,$G$2:$G$264,G230)&gt;1,"Duplicate competency record",IF(INDEX(employees!$H$2:$H$37,MATCH(B230,employees!$A$2:$A$37,0))="Inactive","Inactive account","OK"))))</f>
        <v>OK</v>
      </c>
    </row>
    <row r="231" spans="1:23" ht="15" customHeight="1">
      <c r="A231" s="5" t="s">
        <v>460</v>
      </c>
      <c r="B231" s="16" t="s">
        <v>129</v>
      </c>
      <c r="C231" s="16" t="str">
        <f>IFERROR(INDEX(employees!$B$2:$B$37,MATCH(B231,employees!$A$2:$A$37,0)),"")</f>
        <v>Avery Singh</v>
      </c>
      <c r="D231" s="16" t="str">
        <f>IFERROR(INDEX(employees!$C$2:$C$37,MATCH(B231,employees!$A$2:$A$37,0)),"")</f>
        <v>Protection &amp; Control</v>
      </c>
      <c r="E231" s="16" t="str">
        <f>IFERROR(INDEX(employees!$D$2:$D$37,MATCH(B231,employees!$A$2:$A$37,0)),"")</f>
        <v>Testing &amp; Validation</v>
      </c>
      <c r="F231" s="16" t="str">
        <f>IFERROR(INDEX(employees!$E$2:$E$37,MATCH(B231,employees!$A$2:$A$37,0)),"")</f>
        <v>Graduate</v>
      </c>
      <c r="G231" s="16" t="s">
        <v>154</v>
      </c>
      <c r="H231" s="16" t="str">
        <f>IFERROR(INDEX(competency_model!$C$2:$C$25,MATCH(G231,competency_model!$A$2:$A$25,0)),"")</f>
        <v>Excel Reporting</v>
      </c>
      <c r="I231" s="16" t="str">
        <f>IFERROR(INDEX(competency_model!$D$2:$D$25,MATCH(G231,competency_model!$A$2:$A$25,0)),"")</f>
        <v>PivotTables and Power Query</v>
      </c>
      <c r="J231" s="16">
        <f>IFERROR(INDEX(competency_model!$F$2:$F$25,MATCH(G231,competency_model!$A$2:$A$25,0)),"")</f>
        <v>4</v>
      </c>
      <c r="K231" s="16" t="str">
        <f>IFERROR(INDEX(competency_model!$G$2:$G$25,MATCH(G231,competency_model!$A$2:$A$25,0)),"")</f>
        <v>High</v>
      </c>
      <c r="L231" s="21">
        <v>4</v>
      </c>
      <c r="M231" s="21">
        <f t="shared" si="18"/>
        <v>0</v>
      </c>
      <c r="N231" s="16" t="str">
        <f t="shared" si="19"/>
        <v>No Gap</v>
      </c>
      <c r="O231" s="21">
        <f t="shared" si="20"/>
        <v>3</v>
      </c>
      <c r="P231" s="21">
        <f t="shared" si="21"/>
        <v>0</v>
      </c>
      <c r="Q231" s="16" t="str">
        <f t="shared" si="22"/>
        <v>Ready</v>
      </c>
      <c r="R231" s="16" t="s">
        <v>228</v>
      </c>
      <c r="S231" s="23">
        <v>46057.117885995372</v>
      </c>
      <c r="T231" s="25">
        <f t="shared" ca="1" si="23"/>
        <v>144.88211400462751</v>
      </c>
      <c r="U231" s="16" t="s">
        <v>242</v>
      </c>
      <c r="V231" s="16" t="s">
        <v>226</v>
      </c>
      <c r="W231" s="6" t="str">
        <f ca="1">IF(R231="Missing","Missing evidence",IF(T231&gt;365,"Stale assessment",IF(COUNTIFS($B$2:$B$264,B231,$G$2:$G$264,G231)&gt;1,"Duplicate competency record",IF(INDEX(employees!$H$2:$H$37,MATCH(B231,employees!$A$2:$A$37,0))="Inactive","Inactive account","OK"))))</f>
        <v>OK</v>
      </c>
    </row>
    <row r="232" spans="1:23" ht="15" customHeight="1">
      <c r="A232" s="5" t="s">
        <v>461</v>
      </c>
      <c r="B232" s="16" t="s">
        <v>129</v>
      </c>
      <c r="C232" s="16" t="str">
        <f>IFERROR(INDEX(employees!$B$2:$B$37,MATCH(B232,employees!$A$2:$A$37,0)),"")</f>
        <v>Avery Singh</v>
      </c>
      <c r="D232" s="16" t="str">
        <f>IFERROR(INDEX(employees!$C$2:$C$37,MATCH(B232,employees!$A$2:$A$37,0)),"")</f>
        <v>Protection &amp; Control</v>
      </c>
      <c r="E232" s="16" t="str">
        <f>IFERROR(INDEX(employees!$D$2:$D$37,MATCH(B232,employees!$A$2:$A$37,0)),"")</f>
        <v>Testing &amp; Validation</v>
      </c>
      <c r="F232" s="16" t="str">
        <f>IFERROR(INDEX(employees!$E$2:$E$37,MATCH(B232,employees!$A$2:$A$37,0)),"")</f>
        <v>Graduate</v>
      </c>
      <c r="G232" s="16" t="s">
        <v>160</v>
      </c>
      <c r="H232" s="16" t="str">
        <f>IFERROR(INDEX(competency_model!$C$2:$C$25,MATCH(G232,competency_model!$A$2:$A$25,0)),"")</f>
        <v>PowerPoint Presentation</v>
      </c>
      <c r="I232" s="16" t="str">
        <f>IFERROR(INDEX(competency_model!$D$2:$D$25,MATCH(G232,competency_model!$A$2:$A$25,0)),"")</f>
        <v>Leadership Storytelling</v>
      </c>
      <c r="J232" s="16">
        <f>IFERROR(INDEX(competency_model!$F$2:$F$25,MATCH(G232,competency_model!$A$2:$A$25,0)),"")</f>
        <v>3</v>
      </c>
      <c r="K232" s="16" t="str">
        <f>IFERROR(INDEX(competency_model!$G$2:$G$25,MATCH(G232,competency_model!$A$2:$A$25,0)),"")</f>
        <v>Medium</v>
      </c>
      <c r="L232" s="21">
        <v>3</v>
      </c>
      <c r="M232" s="21">
        <f t="shared" si="18"/>
        <v>0</v>
      </c>
      <c r="N232" s="16" t="str">
        <f t="shared" si="19"/>
        <v>No Gap</v>
      </c>
      <c r="O232" s="21">
        <f t="shared" si="20"/>
        <v>2</v>
      </c>
      <c r="P232" s="21">
        <f t="shared" si="21"/>
        <v>0</v>
      </c>
      <c r="Q232" s="16" t="str">
        <f t="shared" si="22"/>
        <v>Ready</v>
      </c>
      <c r="R232" s="16" t="s">
        <v>228</v>
      </c>
      <c r="S232" s="23">
        <v>46172.402499039352</v>
      </c>
      <c r="T232" s="25">
        <f t="shared" ca="1" si="23"/>
        <v>29.597500960648176</v>
      </c>
      <c r="U232" s="16" t="s">
        <v>223</v>
      </c>
      <c r="V232" s="16"/>
      <c r="W232" s="6" t="str">
        <f ca="1">IF(R232="Missing","Missing evidence",IF(T232&gt;365,"Stale assessment",IF(COUNTIFS($B$2:$B$264,B232,$G$2:$G$264,G232)&gt;1,"Duplicate competency record",IF(INDEX(employees!$H$2:$H$37,MATCH(B232,employees!$A$2:$A$37,0))="Inactive","Inactive account","OK"))))</f>
        <v>OK</v>
      </c>
    </row>
    <row r="233" spans="1:23" ht="15" customHeight="1">
      <c r="A233" s="5" t="s">
        <v>462</v>
      </c>
      <c r="B233" s="16" t="s">
        <v>129</v>
      </c>
      <c r="C233" s="16" t="str">
        <f>IFERROR(INDEX(employees!$B$2:$B$37,MATCH(B233,employees!$A$2:$A$37,0)),"")</f>
        <v>Avery Singh</v>
      </c>
      <c r="D233" s="16" t="str">
        <f>IFERROR(INDEX(employees!$C$2:$C$37,MATCH(B233,employees!$A$2:$A$37,0)),"")</f>
        <v>Protection &amp; Control</v>
      </c>
      <c r="E233" s="16" t="str">
        <f>IFERROR(INDEX(employees!$D$2:$D$37,MATCH(B233,employees!$A$2:$A$37,0)),"")</f>
        <v>Testing &amp; Validation</v>
      </c>
      <c r="F233" s="16" t="str">
        <f>IFERROR(INDEX(employees!$E$2:$E$37,MATCH(B233,employees!$A$2:$A$37,0)),"")</f>
        <v>Graduate</v>
      </c>
      <c r="G233" s="16" t="s">
        <v>171</v>
      </c>
      <c r="H233" s="16" t="str">
        <f>IFERROR(INDEX(competency_model!$C$2:$C$25,MATCH(G233,competency_model!$A$2:$A$25,0)),"")</f>
        <v>Testing &amp; Validation</v>
      </c>
      <c r="I233" s="16" t="str">
        <f>IFERROR(INDEX(competency_model!$D$2:$D$25,MATCH(G233,competency_model!$A$2:$A$25,0)),"")</f>
        <v>Test Evidence Review</v>
      </c>
      <c r="J233" s="16">
        <f>IFERROR(INDEX(competency_model!$F$2:$F$25,MATCH(G233,competency_model!$A$2:$A$25,0)),"")</f>
        <v>4</v>
      </c>
      <c r="K233" s="16" t="str">
        <f>IFERROR(INDEX(competency_model!$G$2:$G$25,MATCH(G233,competency_model!$A$2:$A$25,0)),"")</f>
        <v>High</v>
      </c>
      <c r="L233" s="21">
        <v>2</v>
      </c>
      <c r="M233" s="21">
        <f t="shared" si="18"/>
        <v>2</v>
      </c>
      <c r="N233" s="16" t="str">
        <f t="shared" si="19"/>
        <v>Moderate</v>
      </c>
      <c r="O233" s="21">
        <f t="shared" si="20"/>
        <v>3</v>
      </c>
      <c r="P233" s="21">
        <f t="shared" si="21"/>
        <v>6</v>
      </c>
      <c r="Q233" s="16" t="str">
        <f t="shared" si="22"/>
        <v>Development Needed</v>
      </c>
      <c r="R233" s="16" t="s">
        <v>228</v>
      </c>
      <c r="S233" s="23">
        <v>46004.410308668979</v>
      </c>
      <c r="T233" s="25">
        <f t="shared" ca="1" si="23"/>
        <v>197.58969133102073</v>
      </c>
      <c r="U233" s="16" t="s">
        <v>242</v>
      </c>
      <c r="V233" s="16" t="s">
        <v>239</v>
      </c>
      <c r="W233" s="6" t="str">
        <f ca="1">IF(R233="Missing","Missing evidence",IF(T233&gt;365,"Stale assessment",IF(COUNTIFS($B$2:$B$264,B233,$G$2:$G$264,G233)&gt;1,"Duplicate competency record",IF(INDEX(employees!$H$2:$H$37,MATCH(B233,employees!$A$2:$A$37,0))="Inactive","Inactive account","OK"))))</f>
        <v>OK</v>
      </c>
    </row>
    <row r="234" spans="1:23" ht="15" customHeight="1">
      <c r="A234" s="5" t="s">
        <v>463</v>
      </c>
      <c r="B234" s="16" t="s">
        <v>131</v>
      </c>
      <c r="C234" s="16" t="str">
        <f>IFERROR(INDEX(employees!$B$2:$B$37,MATCH(B234,employees!$A$2:$A$37,0)),"")</f>
        <v>Taylor Brown</v>
      </c>
      <c r="D234" s="16" t="str">
        <f>IFERROR(INDEX(employees!$C$2:$C$37,MATCH(B234,employees!$A$2:$A$37,0)),"")</f>
        <v>Chief Engineer Office</v>
      </c>
      <c r="E234" s="16" t="str">
        <f>IFERROR(INDEX(employees!$D$2:$D$37,MATCH(B234,employees!$A$2:$A$37,0)),"")</f>
        <v>Systems Engineering</v>
      </c>
      <c r="F234" s="16" t="str">
        <f>IFERROR(INDEX(employees!$E$2:$E$37,MATCH(B234,employees!$A$2:$A$37,0)),"")</f>
        <v>Senior Engineer</v>
      </c>
      <c r="G234" s="16" t="s">
        <v>169</v>
      </c>
      <c r="H234" s="16" t="str">
        <f>IFERROR(INDEX(competency_model!$C$2:$C$25,MATCH(G234,competency_model!$A$2:$A$25,0)),"")</f>
        <v>Power Systems Knowledge</v>
      </c>
      <c r="I234" s="16" t="str">
        <f>IFERROR(INDEX(competency_model!$D$2:$D$25,MATCH(G234,competency_model!$A$2:$A$25,0)),"")</f>
        <v>HVDC System Concepts</v>
      </c>
      <c r="J234" s="16">
        <f>IFERROR(INDEX(competency_model!$F$2:$F$25,MATCH(G234,competency_model!$A$2:$A$25,0)),"")</f>
        <v>3</v>
      </c>
      <c r="K234" s="16" t="str">
        <f>IFERROR(INDEX(competency_model!$G$2:$G$25,MATCH(G234,competency_model!$A$2:$A$25,0)),"")</f>
        <v>High</v>
      </c>
      <c r="L234" s="21">
        <v>1</v>
      </c>
      <c r="M234" s="21">
        <f t="shared" si="18"/>
        <v>2</v>
      </c>
      <c r="N234" s="16" t="str">
        <f t="shared" si="19"/>
        <v>Moderate</v>
      </c>
      <c r="O234" s="21">
        <f t="shared" si="20"/>
        <v>3</v>
      </c>
      <c r="P234" s="21">
        <f t="shared" si="21"/>
        <v>6</v>
      </c>
      <c r="Q234" s="16" t="str">
        <f t="shared" si="22"/>
        <v>Development Needed</v>
      </c>
      <c r="R234" s="16" t="s">
        <v>228</v>
      </c>
      <c r="S234" s="23">
        <v>45830.212103981481</v>
      </c>
      <c r="T234" s="25">
        <f t="shared" ca="1" si="23"/>
        <v>371.78789601851895</v>
      </c>
      <c r="U234" s="16" t="s">
        <v>223</v>
      </c>
      <c r="V234" s="16" t="s">
        <v>239</v>
      </c>
      <c r="W234" s="6" t="str">
        <f ca="1">IF(R234="Missing","Missing evidence",IF(T234&gt;365,"Stale assessment",IF(COUNTIFS($B$2:$B$264,B234,$G$2:$G$264,G234)&gt;1,"Duplicate competency record",IF(INDEX(employees!$H$2:$H$37,MATCH(B234,employees!$A$2:$A$37,0))="Inactive","Inactive account","OK"))))</f>
        <v>Stale assessment</v>
      </c>
    </row>
    <row r="235" spans="1:23" ht="15" customHeight="1">
      <c r="A235" s="5" t="s">
        <v>464</v>
      </c>
      <c r="B235" s="16" t="s">
        <v>131</v>
      </c>
      <c r="C235" s="16" t="str">
        <f>IFERROR(INDEX(employees!$B$2:$B$37,MATCH(B235,employees!$A$2:$A$37,0)),"")</f>
        <v>Taylor Brown</v>
      </c>
      <c r="D235" s="16" t="str">
        <f>IFERROR(INDEX(employees!$C$2:$C$37,MATCH(B235,employees!$A$2:$A$37,0)),"")</f>
        <v>Chief Engineer Office</v>
      </c>
      <c r="E235" s="16" t="str">
        <f>IFERROR(INDEX(employees!$D$2:$D$37,MATCH(B235,employees!$A$2:$A$37,0)),"")</f>
        <v>Systems Engineering</v>
      </c>
      <c r="F235" s="16" t="str">
        <f>IFERROR(INDEX(employees!$E$2:$E$37,MATCH(B235,employees!$A$2:$A$37,0)),"")</f>
        <v>Senior Engineer</v>
      </c>
      <c r="G235" s="16" t="s">
        <v>175</v>
      </c>
      <c r="H235" s="16" t="str">
        <f>IFERROR(INDEX(competency_model!$C$2:$C$25,MATCH(G235,competency_model!$A$2:$A$25,0)),"")</f>
        <v>Safety / Compliance</v>
      </c>
      <c r="I235" s="16" t="str">
        <f>IFERROR(INDEX(competency_model!$D$2:$D$25,MATCH(G235,competency_model!$A$2:$A$25,0)),"")</f>
        <v>Engineering Safety Awareness</v>
      </c>
      <c r="J235" s="16">
        <f>IFERROR(INDEX(competency_model!$F$2:$F$25,MATCH(G235,competency_model!$A$2:$A$25,0)),"")</f>
        <v>4</v>
      </c>
      <c r="K235" s="16" t="str">
        <f>IFERROR(INDEX(competency_model!$G$2:$G$25,MATCH(G235,competency_model!$A$2:$A$25,0)),"")</f>
        <v>High</v>
      </c>
      <c r="L235" s="21">
        <v>1</v>
      </c>
      <c r="M235" s="21">
        <f t="shared" si="18"/>
        <v>3</v>
      </c>
      <c r="N235" s="16" t="str">
        <f t="shared" si="19"/>
        <v>Critical</v>
      </c>
      <c r="O235" s="21">
        <f t="shared" si="20"/>
        <v>3</v>
      </c>
      <c r="P235" s="21">
        <f t="shared" si="21"/>
        <v>9</v>
      </c>
      <c r="Q235" s="16" t="str">
        <f t="shared" si="22"/>
        <v>Development Needed</v>
      </c>
      <c r="R235" s="16" t="s">
        <v>228</v>
      </c>
      <c r="S235" s="23">
        <v>46059.113296284719</v>
      </c>
      <c r="T235" s="25">
        <f t="shared" ca="1" si="23"/>
        <v>142.88670371528133</v>
      </c>
      <c r="U235" s="16" t="s">
        <v>223</v>
      </c>
      <c r="V235" s="16"/>
      <c r="W235" s="6" t="str">
        <f ca="1">IF(R235="Missing","Missing evidence",IF(T235&gt;365,"Stale assessment",IF(COUNTIFS($B$2:$B$264,B235,$G$2:$G$264,G235)&gt;1,"Duplicate competency record",IF(INDEX(employees!$H$2:$H$37,MATCH(B235,employees!$A$2:$A$37,0))="Inactive","Inactive account","OK"))))</f>
        <v>OK</v>
      </c>
    </row>
    <row r="236" spans="1:23" ht="15" customHeight="1">
      <c r="A236" s="5" t="s">
        <v>465</v>
      </c>
      <c r="B236" s="16" t="s">
        <v>131</v>
      </c>
      <c r="C236" s="16" t="str">
        <f>IFERROR(INDEX(employees!$B$2:$B$37,MATCH(B236,employees!$A$2:$A$37,0)),"")</f>
        <v>Taylor Brown</v>
      </c>
      <c r="D236" s="16" t="str">
        <f>IFERROR(INDEX(employees!$C$2:$C$37,MATCH(B236,employees!$A$2:$A$37,0)),"")</f>
        <v>Chief Engineer Office</v>
      </c>
      <c r="E236" s="16" t="str">
        <f>IFERROR(INDEX(employees!$D$2:$D$37,MATCH(B236,employees!$A$2:$A$37,0)),"")</f>
        <v>Systems Engineering</v>
      </c>
      <c r="F236" s="16" t="str">
        <f>IFERROR(INDEX(employees!$E$2:$E$37,MATCH(B236,employees!$A$2:$A$37,0)),"")</f>
        <v>Senior Engineer</v>
      </c>
      <c r="G236" s="16" t="s">
        <v>181</v>
      </c>
      <c r="H236" s="16" t="str">
        <f>IFERROR(INDEX(competency_model!$C$2:$C$25,MATCH(G236,competency_model!$A$2:$A$25,0)),"")</f>
        <v>Stakeholder Communication</v>
      </c>
      <c r="I236" s="16" t="str">
        <f>IFERROR(INDEX(competency_model!$D$2:$D$25,MATCH(G236,competency_model!$A$2:$A$25,0)),"")</f>
        <v>Cross-Functional Updates</v>
      </c>
      <c r="J236" s="16">
        <f>IFERROR(INDEX(competency_model!$F$2:$F$25,MATCH(G236,competency_model!$A$2:$A$25,0)),"")</f>
        <v>3</v>
      </c>
      <c r="K236" s="16" t="str">
        <f>IFERROR(INDEX(competency_model!$G$2:$G$25,MATCH(G236,competency_model!$A$2:$A$25,0)),"")</f>
        <v>Medium</v>
      </c>
      <c r="L236" s="21">
        <v>1</v>
      </c>
      <c r="M236" s="21">
        <f t="shared" si="18"/>
        <v>2</v>
      </c>
      <c r="N236" s="16" t="str">
        <f t="shared" si="19"/>
        <v>Moderate</v>
      </c>
      <c r="O236" s="21">
        <f t="shared" si="20"/>
        <v>2</v>
      </c>
      <c r="P236" s="21">
        <f t="shared" si="21"/>
        <v>4</v>
      </c>
      <c r="Q236" s="16" t="str">
        <f t="shared" si="22"/>
        <v>Development Needed</v>
      </c>
      <c r="R236" s="16" t="s">
        <v>228</v>
      </c>
      <c r="S236" s="23">
        <v>46053.455121944447</v>
      </c>
      <c r="T236" s="25">
        <f t="shared" ca="1" si="23"/>
        <v>148.54487805555254</v>
      </c>
      <c r="U236" s="16" t="s">
        <v>223</v>
      </c>
      <c r="V236" s="16" t="s">
        <v>239</v>
      </c>
      <c r="W236" s="6" t="str">
        <f ca="1">IF(R236="Missing","Missing evidence",IF(T236&gt;365,"Stale assessment",IF(COUNTIFS($B$2:$B$264,B236,$G$2:$G$264,G236)&gt;1,"Duplicate competency record",IF(INDEX(employees!$H$2:$H$37,MATCH(B236,employees!$A$2:$A$37,0))="Inactive","Inactive account","OK"))))</f>
        <v>OK</v>
      </c>
    </row>
    <row r="237" spans="1:23" ht="15" customHeight="1">
      <c r="A237" s="5" t="s">
        <v>466</v>
      </c>
      <c r="B237" s="16" t="s">
        <v>131</v>
      </c>
      <c r="C237" s="16" t="str">
        <f>IFERROR(INDEX(employees!$B$2:$B$37,MATCH(B237,employees!$A$2:$A$37,0)),"")</f>
        <v>Taylor Brown</v>
      </c>
      <c r="D237" s="16" t="str">
        <f>IFERROR(INDEX(employees!$C$2:$C$37,MATCH(B237,employees!$A$2:$A$37,0)),"")</f>
        <v>Chief Engineer Office</v>
      </c>
      <c r="E237" s="16" t="str">
        <f>IFERROR(INDEX(employees!$D$2:$D$37,MATCH(B237,employees!$A$2:$A$37,0)),"")</f>
        <v>Systems Engineering</v>
      </c>
      <c r="F237" s="16" t="str">
        <f>IFERROR(INDEX(employees!$E$2:$E$37,MATCH(B237,employees!$A$2:$A$37,0)),"")</f>
        <v>Senior Engineer</v>
      </c>
      <c r="G237" s="16" t="s">
        <v>154</v>
      </c>
      <c r="H237" s="16" t="str">
        <f>IFERROR(INDEX(competency_model!$C$2:$C$25,MATCH(G237,competency_model!$A$2:$A$25,0)),"")</f>
        <v>Excel Reporting</v>
      </c>
      <c r="I237" s="16" t="str">
        <f>IFERROR(INDEX(competency_model!$D$2:$D$25,MATCH(G237,competency_model!$A$2:$A$25,0)),"")</f>
        <v>PivotTables and Power Query</v>
      </c>
      <c r="J237" s="16">
        <f>IFERROR(INDEX(competency_model!$F$2:$F$25,MATCH(G237,competency_model!$A$2:$A$25,0)),"")</f>
        <v>4</v>
      </c>
      <c r="K237" s="16" t="str">
        <f>IFERROR(INDEX(competency_model!$G$2:$G$25,MATCH(G237,competency_model!$A$2:$A$25,0)),"")</f>
        <v>High</v>
      </c>
      <c r="L237" s="21">
        <v>1</v>
      </c>
      <c r="M237" s="21">
        <f t="shared" si="18"/>
        <v>3</v>
      </c>
      <c r="N237" s="16" t="str">
        <f t="shared" si="19"/>
        <v>Critical</v>
      </c>
      <c r="O237" s="21">
        <f t="shared" si="20"/>
        <v>3</v>
      </c>
      <c r="P237" s="21">
        <f t="shared" si="21"/>
        <v>9</v>
      </c>
      <c r="Q237" s="16" t="str">
        <f t="shared" si="22"/>
        <v>Development Needed</v>
      </c>
      <c r="R237" s="16" t="s">
        <v>225</v>
      </c>
      <c r="S237" s="23">
        <v>46087.498610752315</v>
      </c>
      <c r="T237" s="25">
        <f t="shared" ca="1" si="23"/>
        <v>114.50138924768544</v>
      </c>
      <c r="U237" s="16" t="s">
        <v>242</v>
      </c>
      <c r="V237" s="16"/>
      <c r="W237" s="6" t="str">
        <f ca="1">IF(R237="Missing","Missing evidence",IF(T237&gt;365,"Stale assessment",IF(COUNTIFS($B$2:$B$264,B237,$G$2:$G$264,G237)&gt;1,"Duplicate competency record",IF(INDEX(employees!$H$2:$H$37,MATCH(B237,employees!$A$2:$A$37,0))="Inactive","Inactive account","OK"))))</f>
        <v>OK</v>
      </c>
    </row>
    <row r="238" spans="1:23" ht="15" customHeight="1">
      <c r="A238" s="5" t="s">
        <v>467</v>
      </c>
      <c r="B238" s="16" t="s">
        <v>131</v>
      </c>
      <c r="C238" s="16" t="str">
        <f>IFERROR(INDEX(employees!$B$2:$B$37,MATCH(B238,employees!$A$2:$A$37,0)),"")</f>
        <v>Taylor Brown</v>
      </c>
      <c r="D238" s="16" t="str">
        <f>IFERROR(INDEX(employees!$C$2:$C$37,MATCH(B238,employees!$A$2:$A$37,0)),"")</f>
        <v>Chief Engineer Office</v>
      </c>
      <c r="E238" s="16" t="str">
        <f>IFERROR(INDEX(employees!$D$2:$D$37,MATCH(B238,employees!$A$2:$A$37,0)),"")</f>
        <v>Systems Engineering</v>
      </c>
      <c r="F238" s="16" t="str">
        <f>IFERROR(INDEX(employees!$E$2:$E$37,MATCH(B238,employees!$A$2:$A$37,0)),"")</f>
        <v>Senior Engineer</v>
      </c>
      <c r="G238" s="16" t="s">
        <v>197</v>
      </c>
      <c r="H238" s="16" t="str">
        <f>IFERROR(INDEX(competency_model!$C$2:$C$25,MATCH(G238,competency_model!$A$2:$A$25,0)),"")</f>
        <v>User Support</v>
      </c>
      <c r="I238" s="16" t="str">
        <f>IFERROR(INDEX(competency_model!$D$2:$D$25,MATCH(G238,competency_model!$A$2:$A$25,0)),"")</f>
        <v>Competency Tool User Support</v>
      </c>
      <c r="J238" s="16">
        <f>IFERROR(INDEX(competency_model!$F$2:$F$25,MATCH(G238,competency_model!$A$2:$A$25,0)),"")</f>
        <v>3</v>
      </c>
      <c r="K238" s="16" t="str">
        <f>IFERROR(INDEX(competency_model!$G$2:$G$25,MATCH(G238,competency_model!$A$2:$A$25,0)),"")</f>
        <v>Medium</v>
      </c>
      <c r="L238" s="21">
        <v>2</v>
      </c>
      <c r="M238" s="21">
        <f t="shared" si="18"/>
        <v>1</v>
      </c>
      <c r="N238" s="16" t="str">
        <f t="shared" si="19"/>
        <v>Minor</v>
      </c>
      <c r="O238" s="21">
        <f t="shared" si="20"/>
        <v>2</v>
      </c>
      <c r="P238" s="21">
        <f t="shared" si="21"/>
        <v>2</v>
      </c>
      <c r="Q238" s="16" t="str">
        <f t="shared" si="22"/>
        <v>Development Needed</v>
      </c>
      <c r="R238" s="16" t="s">
        <v>222</v>
      </c>
      <c r="S238" s="23">
        <v>46069.067602951392</v>
      </c>
      <c r="T238" s="25">
        <f t="shared" ca="1" si="23"/>
        <v>132.93239704860753</v>
      </c>
      <c r="U238" s="16" t="s">
        <v>223</v>
      </c>
      <c r="V238" s="16"/>
      <c r="W238" s="6" t="str">
        <f>IF(R238="Missing","Missing evidence",IF(T238&gt;365,"Stale assessment",IF(COUNTIFS($B$2:$B$264,B238,$G$2:$G$264,G238)&gt;1,"Duplicate competency record",IF(INDEX(employees!$H$2:$H$37,MATCH(B238,employees!$A$2:$A$37,0))="Inactive","Inactive account","OK"))))</f>
        <v>Missing evidence</v>
      </c>
    </row>
    <row r="239" spans="1:23" ht="15" customHeight="1">
      <c r="A239" s="5" t="s">
        <v>468</v>
      </c>
      <c r="B239" s="16" t="s">
        <v>131</v>
      </c>
      <c r="C239" s="16" t="str">
        <f>IFERROR(INDEX(employees!$B$2:$B$37,MATCH(B239,employees!$A$2:$A$37,0)),"")</f>
        <v>Taylor Brown</v>
      </c>
      <c r="D239" s="16" t="str">
        <f>IFERROR(INDEX(employees!$C$2:$C$37,MATCH(B239,employees!$A$2:$A$37,0)),"")</f>
        <v>Chief Engineer Office</v>
      </c>
      <c r="E239" s="16" t="str">
        <f>IFERROR(INDEX(employees!$D$2:$D$37,MATCH(B239,employees!$A$2:$A$37,0)),"")</f>
        <v>Systems Engineering</v>
      </c>
      <c r="F239" s="16" t="str">
        <f>IFERROR(INDEX(employees!$E$2:$E$37,MATCH(B239,employees!$A$2:$A$37,0)),"")</f>
        <v>Senior Engineer</v>
      </c>
      <c r="G239" s="16" t="s">
        <v>163</v>
      </c>
      <c r="H239" s="16" t="str">
        <f>IFERROR(INDEX(competency_model!$C$2:$C$25,MATCH(G239,competency_model!$A$2:$A$25,0)),"")</f>
        <v>Engineering Documentation</v>
      </c>
      <c r="I239" s="16" t="str">
        <f>IFERROR(INDEX(competency_model!$D$2:$D$25,MATCH(G239,competency_model!$A$2:$A$25,0)),"")</f>
        <v>Technical Documentation</v>
      </c>
      <c r="J239" s="16">
        <f>IFERROR(INDEX(competency_model!$F$2:$F$25,MATCH(G239,competency_model!$A$2:$A$25,0)),"")</f>
        <v>4</v>
      </c>
      <c r="K239" s="16" t="str">
        <f>IFERROR(INDEX(competency_model!$G$2:$G$25,MATCH(G239,competency_model!$A$2:$A$25,0)),"")</f>
        <v>High</v>
      </c>
      <c r="L239" s="21">
        <v>2</v>
      </c>
      <c r="M239" s="21">
        <f t="shared" si="18"/>
        <v>2</v>
      </c>
      <c r="N239" s="16" t="str">
        <f t="shared" si="19"/>
        <v>Moderate</v>
      </c>
      <c r="O239" s="21">
        <f t="shared" si="20"/>
        <v>3</v>
      </c>
      <c r="P239" s="21">
        <f t="shared" si="21"/>
        <v>6</v>
      </c>
      <c r="Q239" s="16" t="str">
        <f t="shared" si="22"/>
        <v>Development Needed</v>
      </c>
      <c r="R239" s="16" t="s">
        <v>222</v>
      </c>
      <c r="S239" s="23">
        <v>46026.125558182874</v>
      </c>
      <c r="T239" s="25">
        <f t="shared" ca="1" si="23"/>
        <v>175.87444181712635</v>
      </c>
      <c r="U239" s="16" t="s">
        <v>229</v>
      </c>
      <c r="V239" s="16"/>
      <c r="W239" s="6" t="str">
        <f>IF(R239="Missing","Missing evidence",IF(T239&gt;365,"Stale assessment",IF(COUNTIFS($B$2:$B$264,B239,$G$2:$G$264,G239)&gt;1,"Duplicate competency record",IF(INDEX(employees!$H$2:$H$37,MATCH(B239,employees!$A$2:$A$37,0))="Inactive","Inactive account","OK"))))</f>
        <v>Missing evidence</v>
      </c>
    </row>
    <row r="240" spans="1:23" ht="15" customHeight="1">
      <c r="A240" s="5" t="s">
        <v>469</v>
      </c>
      <c r="B240" s="16" t="s">
        <v>131</v>
      </c>
      <c r="C240" s="16" t="str">
        <f>IFERROR(INDEX(employees!$B$2:$B$37,MATCH(B240,employees!$A$2:$A$37,0)),"")</f>
        <v>Taylor Brown</v>
      </c>
      <c r="D240" s="16" t="str">
        <f>IFERROR(INDEX(employees!$C$2:$C$37,MATCH(B240,employees!$A$2:$A$37,0)),"")</f>
        <v>Chief Engineer Office</v>
      </c>
      <c r="E240" s="16" t="str">
        <f>IFERROR(INDEX(employees!$D$2:$D$37,MATCH(B240,employees!$A$2:$A$37,0)),"")</f>
        <v>Systems Engineering</v>
      </c>
      <c r="F240" s="16" t="str">
        <f>IFERROR(INDEX(employees!$E$2:$E$37,MATCH(B240,employees!$A$2:$A$37,0)),"")</f>
        <v>Senior Engineer</v>
      </c>
      <c r="G240" s="16" t="s">
        <v>206</v>
      </c>
      <c r="H240" s="16" t="str">
        <f>IFERROR(INDEX(competency_model!$C$2:$C$25,MATCH(G240,competency_model!$A$2:$A$25,0)),"")</f>
        <v>Asset Management</v>
      </c>
      <c r="I240" s="16" t="str">
        <f>IFERROR(INDEX(competency_model!$D$2:$D$25,MATCH(G240,competency_model!$A$2:$A$25,0)),"")</f>
        <v>Engineering Performance Indicators</v>
      </c>
      <c r="J240" s="16">
        <f>IFERROR(INDEX(competency_model!$F$2:$F$25,MATCH(G240,competency_model!$A$2:$A$25,0)),"")</f>
        <v>3</v>
      </c>
      <c r="K240" s="16" t="str">
        <f>IFERROR(INDEX(competency_model!$G$2:$G$25,MATCH(G240,competency_model!$A$2:$A$25,0)),"")</f>
        <v>High</v>
      </c>
      <c r="L240" s="21">
        <v>1</v>
      </c>
      <c r="M240" s="21">
        <f t="shared" si="18"/>
        <v>2</v>
      </c>
      <c r="N240" s="16" t="str">
        <f t="shared" si="19"/>
        <v>Moderate</v>
      </c>
      <c r="O240" s="21">
        <f t="shared" si="20"/>
        <v>3</v>
      </c>
      <c r="P240" s="21">
        <f t="shared" si="21"/>
        <v>6</v>
      </c>
      <c r="Q240" s="16" t="str">
        <f t="shared" si="22"/>
        <v>Development Needed</v>
      </c>
      <c r="R240" s="16" t="s">
        <v>222</v>
      </c>
      <c r="S240" s="23">
        <v>46038.655170011574</v>
      </c>
      <c r="T240" s="25">
        <f t="shared" ca="1" si="23"/>
        <v>163.34482998842577</v>
      </c>
      <c r="U240" s="16" t="s">
        <v>223</v>
      </c>
      <c r="V240" s="16"/>
      <c r="W240" s="6" t="str">
        <f>IF(R240="Missing","Missing evidence",IF(T240&gt;365,"Stale assessment",IF(COUNTIFS($B$2:$B$264,B240,$G$2:$G$264,G240)&gt;1,"Duplicate competency record",IF(INDEX(employees!$H$2:$H$37,MATCH(B240,employees!$A$2:$A$37,0))="Inactive","Inactive account","OK"))))</f>
        <v>Missing evidence</v>
      </c>
    </row>
    <row r="241" spans="1:23" ht="15" customHeight="1">
      <c r="A241" s="5" t="s">
        <v>470</v>
      </c>
      <c r="B241" s="16" t="s">
        <v>133</v>
      </c>
      <c r="C241" s="16" t="str">
        <f>IFERROR(INDEX(employees!$B$2:$B$37,MATCH(B241,employees!$A$2:$A$37,0)),"")</f>
        <v>Jordan Patel</v>
      </c>
      <c r="D241" s="16" t="str">
        <f>IFERROR(INDEX(employees!$C$2:$C$37,MATCH(B241,employees!$A$2:$A$37,0)),"")</f>
        <v>Protection &amp; Control</v>
      </c>
      <c r="E241" s="16" t="str">
        <f>IFERROR(INDEX(employees!$D$2:$D$37,MATCH(B241,employees!$A$2:$A$37,0)),"")</f>
        <v>Data &amp; Reporting</v>
      </c>
      <c r="F241" s="16" t="str">
        <f>IFERROR(INDEX(employees!$E$2:$E$37,MATCH(B241,employees!$A$2:$A$37,0)),"")</f>
        <v>Lead Engineer</v>
      </c>
      <c r="G241" s="16" t="s">
        <v>154</v>
      </c>
      <c r="H241" s="16" t="str">
        <f>IFERROR(INDEX(competency_model!$C$2:$C$25,MATCH(G241,competency_model!$A$2:$A$25,0)),"")</f>
        <v>Excel Reporting</v>
      </c>
      <c r="I241" s="16" t="str">
        <f>IFERROR(INDEX(competency_model!$D$2:$D$25,MATCH(G241,competency_model!$A$2:$A$25,0)),"")</f>
        <v>PivotTables and Power Query</v>
      </c>
      <c r="J241" s="16">
        <f>IFERROR(INDEX(competency_model!$F$2:$F$25,MATCH(G241,competency_model!$A$2:$A$25,0)),"")</f>
        <v>4</v>
      </c>
      <c r="K241" s="16" t="str">
        <f>IFERROR(INDEX(competency_model!$G$2:$G$25,MATCH(G241,competency_model!$A$2:$A$25,0)),"")</f>
        <v>High</v>
      </c>
      <c r="L241" s="21">
        <v>3</v>
      </c>
      <c r="M241" s="21">
        <f t="shared" si="18"/>
        <v>1</v>
      </c>
      <c r="N241" s="16" t="str">
        <f t="shared" si="19"/>
        <v>Minor</v>
      </c>
      <c r="O241" s="21">
        <f t="shared" si="20"/>
        <v>3</v>
      </c>
      <c r="P241" s="21">
        <f t="shared" si="21"/>
        <v>3</v>
      </c>
      <c r="Q241" s="16" t="str">
        <f t="shared" si="22"/>
        <v>Development Needed</v>
      </c>
      <c r="R241" s="16" t="s">
        <v>225</v>
      </c>
      <c r="S241" s="23">
        <v>46001.934688043984</v>
      </c>
      <c r="T241" s="25">
        <f t="shared" ca="1" si="23"/>
        <v>200.06531195601565</v>
      </c>
      <c r="U241" s="16" t="s">
        <v>229</v>
      </c>
      <c r="V241" s="16"/>
      <c r="W241" s="6" t="str">
        <f ca="1">IF(R241="Missing","Missing evidence",IF(T241&gt;365,"Stale assessment",IF(COUNTIFS($B$2:$B$264,B241,$G$2:$G$264,G241)&gt;1,"Duplicate competency record",IF(INDEX(employees!$H$2:$H$37,MATCH(B241,employees!$A$2:$A$37,0))="Inactive","Inactive account","OK"))))</f>
        <v>Inactive account</v>
      </c>
    </row>
    <row r="242" spans="1:23" ht="15" customHeight="1">
      <c r="A242" s="5" t="s">
        <v>471</v>
      </c>
      <c r="B242" s="16" t="s">
        <v>133</v>
      </c>
      <c r="C242" s="16" t="str">
        <f>IFERROR(INDEX(employees!$B$2:$B$37,MATCH(B242,employees!$A$2:$A$37,0)),"")</f>
        <v>Jordan Patel</v>
      </c>
      <c r="D242" s="16" t="str">
        <f>IFERROR(INDEX(employees!$C$2:$C$37,MATCH(B242,employees!$A$2:$A$37,0)),"")</f>
        <v>Protection &amp; Control</v>
      </c>
      <c r="E242" s="16" t="str">
        <f>IFERROR(INDEX(employees!$D$2:$D$37,MATCH(B242,employees!$A$2:$A$37,0)),"")</f>
        <v>Data &amp; Reporting</v>
      </c>
      <c r="F242" s="16" t="str">
        <f>IFERROR(INDEX(employees!$E$2:$E$37,MATCH(B242,employees!$A$2:$A$37,0)),"")</f>
        <v>Lead Engineer</v>
      </c>
      <c r="G242" s="16" t="s">
        <v>157</v>
      </c>
      <c r="H242" s="16" t="str">
        <f>IFERROR(INDEX(competency_model!$C$2:$C$25,MATCH(G242,competency_model!$A$2:$A$25,0)),"")</f>
        <v>Tableau</v>
      </c>
      <c r="I242" s="16" t="str">
        <f>IFERROR(INDEX(competency_model!$D$2:$D$25,MATCH(G242,competency_model!$A$2:$A$25,0)),"")</f>
        <v>Tableau Dashboard Building</v>
      </c>
      <c r="J242" s="16">
        <f>IFERROR(INDEX(competency_model!$F$2:$F$25,MATCH(G242,competency_model!$A$2:$A$25,0)),"")</f>
        <v>3</v>
      </c>
      <c r="K242" s="16" t="str">
        <f>IFERROR(INDEX(competency_model!$G$2:$G$25,MATCH(G242,competency_model!$A$2:$A$25,0)),"")</f>
        <v>High</v>
      </c>
      <c r="L242" s="21">
        <v>1</v>
      </c>
      <c r="M242" s="21">
        <f t="shared" si="18"/>
        <v>2</v>
      </c>
      <c r="N242" s="16" t="str">
        <f t="shared" si="19"/>
        <v>Moderate</v>
      </c>
      <c r="O242" s="21">
        <f t="shared" si="20"/>
        <v>3</v>
      </c>
      <c r="P242" s="21">
        <f t="shared" si="21"/>
        <v>6</v>
      </c>
      <c r="Q242" s="16" t="str">
        <f t="shared" si="22"/>
        <v>Development Needed</v>
      </c>
      <c r="R242" s="16" t="s">
        <v>228</v>
      </c>
      <c r="S242" s="23">
        <v>45975.676329513888</v>
      </c>
      <c r="T242" s="25">
        <f t="shared" ca="1" si="23"/>
        <v>226.32367048611195</v>
      </c>
      <c r="U242" s="16" t="s">
        <v>223</v>
      </c>
      <c r="V242" s="16"/>
      <c r="W242" s="6" t="str">
        <f ca="1">IF(R242="Missing","Missing evidence",IF(T242&gt;365,"Stale assessment",IF(COUNTIFS($B$2:$B$264,B242,$G$2:$G$264,G242)&gt;1,"Duplicate competency record",IF(INDEX(employees!$H$2:$H$37,MATCH(B242,employees!$A$2:$A$37,0))="Inactive","Inactive account","OK"))))</f>
        <v>Inactive account</v>
      </c>
    </row>
    <row r="243" spans="1:23" ht="15" customHeight="1">
      <c r="A243" s="5" t="s">
        <v>472</v>
      </c>
      <c r="B243" s="16" t="s">
        <v>133</v>
      </c>
      <c r="C243" s="16" t="str">
        <f>IFERROR(INDEX(employees!$B$2:$B$37,MATCH(B243,employees!$A$2:$A$37,0)),"")</f>
        <v>Jordan Patel</v>
      </c>
      <c r="D243" s="16" t="str">
        <f>IFERROR(INDEX(employees!$C$2:$C$37,MATCH(B243,employees!$A$2:$A$37,0)),"")</f>
        <v>Protection &amp; Control</v>
      </c>
      <c r="E243" s="16" t="str">
        <f>IFERROR(INDEX(employees!$D$2:$D$37,MATCH(B243,employees!$A$2:$A$37,0)),"")</f>
        <v>Data &amp; Reporting</v>
      </c>
      <c r="F243" s="16" t="str">
        <f>IFERROR(INDEX(employees!$E$2:$E$37,MATCH(B243,employees!$A$2:$A$37,0)),"")</f>
        <v>Lead Engineer</v>
      </c>
      <c r="G243" s="16" t="s">
        <v>160</v>
      </c>
      <c r="H243" s="16" t="str">
        <f>IFERROR(INDEX(competency_model!$C$2:$C$25,MATCH(G243,competency_model!$A$2:$A$25,0)),"")</f>
        <v>PowerPoint Presentation</v>
      </c>
      <c r="I243" s="16" t="str">
        <f>IFERROR(INDEX(competency_model!$D$2:$D$25,MATCH(G243,competency_model!$A$2:$A$25,0)),"")</f>
        <v>Leadership Storytelling</v>
      </c>
      <c r="J243" s="16">
        <f>IFERROR(INDEX(competency_model!$F$2:$F$25,MATCH(G243,competency_model!$A$2:$A$25,0)),"")</f>
        <v>3</v>
      </c>
      <c r="K243" s="16" t="str">
        <f>IFERROR(INDEX(competency_model!$G$2:$G$25,MATCH(G243,competency_model!$A$2:$A$25,0)),"")</f>
        <v>Medium</v>
      </c>
      <c r="L243" s="21">
        <v>2</v>
      </c>
      <c r="M243" s="21">
        <f t="shared" si="18"/>
        <v>1</v>
      </c>
      <c r="N243" s="16" t="str">
        <f t="shared" si="19"/>
        <v>Minor</v>
      </c>
      <c r="O243" s="21">
        <f t="shared" si="20"/>
        <v>2</v>
      </c>
      <c r="P243" s="21">
        <f t="shared" si="21"/>
        <v>2</v>
      </c>
      <c r="Q243" s="16" t="str">
        <f t="shared" si="22"/>
        <v>Development Needed</v>
      </c>
      <c r="R243" s="16" t="s">
        <v>225</v>
      </c>
      <c r="S243" s="23">
        <v>45971.227167916666</v>
      </c>
      <c r="T243" s="25">
        <f t="shared" ca="1" si="23"/>
        <v>230.77283208333392</v>
      </c>
      <c r="U243" s="16" t="s">
        <v>223</v>
      </c>
      <c r="V243" s="16" t="s">
        <v>239</v>
      </c>
      <c r="W243" s="6" t="str">
        <f ca="1">IF(R243="Missing","Missing evidence",IF(T243&gt;365,"Stale assessment",IF(COUNTIFS($B$2:$B$264,B243,$G$2:$G$264,G243)&gt;1,"Duplicate competency record",IF(INDEX(employees!$H$2:$H$37,MATCH(B243,employees!$A$2:$A$37,0))="Inactive","Inactive account","OK"))))</f>
        <v>Inactive account</v>
      </c>
    </row>
    <row r="244" spans="1:23" ht="15" customHeight="1">
      <c r="A244" s="5" t="s">
        <v>473</v>
      </c>
      <c r="B244" s="16" t="s">
        <v>133</v>
      </c>
      <c r="C244" s="16" t="str">
        <f>IFERROR(INDEX(employees!$B$2:$B$37,MATCH(B244,employees!$A$2:$A$37,0)),"")</f>
        <v>Jordan Patel</v>
      </c>
      <c r="D244" s="16" t="str">
        <f>IFERROR(INDEX(employees!$C$2:$C$37,MATCH(B244,employees!$A$2:$A$37,0)),"")</f>
        <v>Protection &amp; Control</v>
      </c>
      <c r="E244" s="16" t="str">
        <f>IFERROR(INDEX(employees!$D$2:$D$37,MATCH(B244,employees!$A$2:$A$37,0)),"")</f>
        <v>Data &amp; Reporting</v>
      </c>
      <c r="F244" s="16" t="str">
        <f>IFERROR(INDEX(employees!$E$2:$E$37,MATCH(B244,employees!$A$2:$A$37,0)),"")</f>
        <v>Lead Engineer</v>
      </c>
      <c r="G244" s="16" t="s">
        <v>163</v>
      </c>
      <c r="H244" s="16" t="str">
        <f>IFERROR(INDEX(competency_model!$C$2:$C$25,MATCH(G244,competency_model!$A$2:$A$25,0)),"")</f>
        <v>Engineering Documentation</v>
      </c>
      <c r="I244" s="16" t="str">
        <f>IFERROR(INDEX(competency_model!$D$2:$D$25,MATCH(G244,competency_model!$A$2:$A$25,0)),"")</f>
        <v>Technical Documentation</v>
      </c>
      <c r="J244" s="16">
        <f>IFERROR(INDEX(competency_model!$F$2:$F$25,MATCH(G244,competency_model!$A$2:$A$25,0)),"")</f>
        <v>4</v>
      </c>
      <c r="K244" s="16" t="str">
        <f>IFERROR(INDEX(competency_model!$G$2:$G$25,MATCH(G244,competency_model!$A$2:$A$25,0)),"")</f>
        <v>High</v>
      </c>
      <c r="L244" s="21">
        <v>2</v>
      </c>
      <c r="M244" s="21">
        <f t="shared" si="18"/>
        <v>2</v>
      </c>
      <c r="N244" s="16" t="str">
        <f t="shared" si="19"/>
        <v>Moderate</v>
      </c>
      <c r="O244" s="21">
        <f t="shared" si="20"/>
        <v>3</v>
      </c>
      <c r="P244" s="21">
        <f t="shared" si="21"/>
        <v>6</v>
      </c>
      <c r="Q244" s="16" t="str">
        <f t="shared" si="22"/>
        <v>Development Needed</v>
      </c>
      <c r="R244" s="16" t="s">
        <v>228</v>
      </c>
      <c r="S244" s="23">
        <v>46029.292313321763</v>
      </c>
      <c r="T244" s="25">
        <f t="shared" ca="1" si="23"/>
        <v>172.70768667823722</v>
      </c>
      <c r="U244" s="16" t="s">
        <v>223</v>
      </c>
      <c r="V244" s="16" t="s">
        <v>233</v>
      </c>
      <c r="W244" s="6" t="str">
        <f ca="1">IF(R244="Missing","Missing evidence",IF(T244&gt;365,"Stale assessment",IF(COUNTIFS($B$2:$B$264,B244,$G$2:$G$264,G244)&gt;1,"Duplicate competency record",IF(INDEX(employees!$H$2:$H$37,MATCH(B244,employees!$A$2:$A$37,0))="Inactive","Inactive account","OK"))))</f>
        <v>Inactive account</v>
      </c>
    </row>
    <row r="245" spans="1:23" ht="15" customHeight="1">
      <c r="A245" s="5" t="s">
        <v>474</v>
      </c>
      <c r="B245" s="16" t="s">
        <v>133</v>
      </c>
      <c r="C245" s="16" t="str">
        <f>IFERROR(INDEX(employees!$B$2:$B$37,MATCH(B245,employees!$A$2:$A$37,0)),"")</f>
        <v>Jordan Patel</v>
      </c>
      <c r="D245" s="16" t="str">
        <f>IFERROR(INDEX(employees!$C$2:$C$37,MATCH(B245,employees!$A$2:$A$37,0)),"")</f>
        <v>Protection &amp; Control</v>
      </c>
      <c r="E245" s="16" t="str">
        <f>IFERROR(INDEX(employees!$D$2:$D$37,MATCH(B245,employees!$A$2:$A$37,0)),"")</f>
        <v>Data &amp; Reporting</v>
      </c>
      <c r="F245" s="16" t="str">
        <f>IFERROR(INDEX(employees!$E$2:$E$37,MATCH(B245,employees!$A$2:$A$37,0)),"")</f>
        <v>Lead Engineer</v>
      </c>
      <c r="G245" s="16" t="s">
        <v>151</v>
      </c>
      <c r="H245" s="16" t="str">
        <f>IFERROR(INDEX(competency_model!$C$2:$C$25,MATCH(G245,competency_model!$A$2:$A$25,0)),"")</f>
        <v>Data Analysis</v>
      </c>
      <c r="I245" s="16" t="str">
        <f>IFERROR(INDEX(competency_model!$D$2:$D$25,MATCH(G245,competency_model!$A$2:$A$25,0)),"")</f>
        <v>SQL Querying</v>
      </c>
      <c r="J245" s="16">
        <f>IFERROR(INDEX(competency_model!$F$2:$F$25,MATCH(G245,competency_model!$A$2:$A$25,0)),"")</f>
        <v>3</v>
      </c>
      <c r="K245" s="16" t="str">
        <f>IFERROR(INDEX(competency_model!$G$2:$G$25,MATCH(G245,competency_model!$A$2:$A$25,0)),"")</f>
        <v>Medium</v>
      </c>
      <c r="L245" s="21">
        <v>2</v>
      </c>
      <c r="M245" s="21">
        <f t="shared" si="18"/>
        <v>1</v>
      </c>
      <c r="N245" s="16" t="str">
        <f t="shared" si="19"/>
        <v>Minor</v>
      </c>
      <c r="O245" s="21">
        <f t="shared" si="20"/>
        <v>2</v>
      </c>
      <c r="P245" s="21">
        <f t="shared" si="21"/>
        <v>2</v>
      </c>
      <c r="Q245" s="16" t="str">
        <f t="shared" si="22"/>
        <v>Development Needed</v>
      </c>
      <c r="R245" s="16" t="s">
        <v>228</v>
      </c>
      <c r="S245" s="23">
        <v>45679.256453125003</v>
      </c>
      <c r="T245" s="25">
        <f t="shared" ca="1" si="23"/>
        <v>522.74354687499726</v>
      </c>
      <c r="U245" s="16" t="s">
        <v>223</v>
      </c>
      <c r="V245" s="16" t="s">
        <v>231</v>
      </c>
      <c r="W245" s="6" t="str">
        <f ca="1">IF(R245="Missing","Missing evidence",IF(T245&gt;365,"Stale assessment",IF(COUNTIFS($B$2:$B$264,B245,$G$2:$G$264,G245)&gt;1,"Duplicate competency record",IF(INDEX(employees!$H$2:$H$37,MATCH(B245,employees!$A$2:$A$37,0))="Inactive","Inactive account","OK"))))</f>
        <v>Stale assessment</v>
      </c>
    </row>
    <row r="246" spans="1:23" ht="15" customHeight="1">
      <c r="A246" s="5" t="s">
        <v>475</v>
      </c>
      <c r="B246" s="16" t="s">
        <v>133</v>
      </c>
      <c r="C246" s="16" t="str">
        <f>IFERROR(INDEX(employees!$B$2:$B$37,MATCH(B246,employees!$A$2:$A$37,0)),"")</f>
        <v>Jordan Patel</v>
      </c>
      <c r="D246" s="16" t="str">
        <f>IFERROR(INDEX(employees!$C$2:$C$37,MATCH(B246,employees!$A$2:$A$37,0)),"")</f>
        <v>Protection &amp; Control</v>
      </c>
      <c r="E246" s="16" t="str">
        <f>IFERROR(INDEX(employees!$D$2:$D$37,MATCH(B246,employees!$A$2:$A$37,0)),"")</f>
        <v>Data &amp; Reporting</v>
      </c>
      <c r="F246" s="16" t="str">
        <f>IFERROR(INDEX(employees!$E$2:$E$37,MATCH(B246,employees!$A$2:$A$37,0)),"")</f>
        <v>Lead Engineer</v>
      </c>
      <c r="G246" s="16" t="s">
        <v>192</v>
      </c>
      <c r="H246" s="16" t="str">
        <f>IFERROR(INDEX(competency_model!$C$2:$C$25,MATCH(G246,competency_model!$A$2:$A$25,0)),"")</f>
        <v>Data Quality</v>
      </c>
      <c r="I246" s="16" t="str">
        <f>IFERROR(INDEX(competency_model!$D$2:$D$25,MATCH(G246,competency_model!$A$2:$A$25,0)),"")</f>
        <v>Assessment Evidence Validation</v>
      </c>
      <c r="J246" s="16">
        <f>IFERROR(INDEX(competency_model!$F$2:$F$25,MATCH(G246,competency_model!$A$2:$A$25,0)),"")</f>
        <v>4</v>
      </c>
      <c r="K246" s="16" t="str">
        <f>IFERROR(INDEX(competency_model!$G$2:$G$25,MATCH(G246,competency_model!$A$2:$A$25,0)),"")</f>
        <v>High</v>
      </c>
      <c r="L246" s="21">
        <v>3</v>
      </c>
      <c r="M246" s="21">
        <f t="shared" si="18"/>
        <v>1</v>
      </c>
      <c r="N246" s="16" t="str">
        <f t="shared" si="19"/>
        <v>Minor</v>
      </c>
      <c r="O246" s="21">
        <f t="shared" si="20"/>
        <v>3</v>
      </c>
      <c r="P246" s="21">
        <f t="shared" si="21"/>
        <v>3</v>
      </c>
      <c r="Q246" s="16" t="str">
        <f t="shared" si="22"/>
        <v>Development Needed</v>
      </c>
      <c r="R246" s="16" t="s">
        <v>228</v>
      </c>
      <c r="S246" s="23">
        <v>46155.151024143517</v>
      </c>
      <c r="T246" s="25">
        <f t="shared" ca="1" si="23"/>
        <v>46.848975856482866</v>
      </c>
      <c r="U246" s="16" t="s">
        <v>229</v>
      </c>
      <c r="V246" s="16" t="s">
        <v>226</v>
      </c>
      <c r="W246" s="6" t="str">
        <f ca="1">IF(R246="Missing","Missing evidence",IF(T246&gt;365,"Stale assessment",IF(COUNTIFS($B$2:$B$264,B246,$G$2:$G$264,G246)&gt;1,"Duplicate competency record",IF(INDEX(employees!$H$2:$H$37,MATCH(B246,employees!$A$2:$A$37,0))="Inactive","Inactive account","OK"))))</f>
        <v>Inactive account</v>
      </c>
    </row>
    <row r="247" spans="1:23" ht="15" customHeight="1">
      <c r="A247" s="5" t="s">
        <v>476</v>
      </c>
      <c r="B247" s="16" t="s">
        <v>133</v>
      </c>
      <c r="C247" s="16" t="str">
        <f>IFERROR(INDEX(employees!$B$2:$B$37,MATCH(B247,employees!$A$2:$A$37,0)),"")</f>
        <v>Jordan Patel</v>
      </c>
      <c r="D247" s="16" t="str">
        <f>IFERROR(INDEX(employees!$C$2:$C$37,MATCH(B247,employees!$A$2:$A$37,0)),"")</f>
        <v>Protection &amp; Control</v>
      </c>
      <c r="E247" s="16" t="str">
        <f>IFERROR(INDEX(employees!$D$2:$D$37,MATCH(B247,employees!$A$2:$A$37,0)),"")</f>
        <v>Data &amp; Reporting</v>
      </c>
      <c r="F247" s="16" t="str">
        <f>IFERROR(INDEX(employees!$E$2:$E$37,MATCH(B247,employees!$A$2:$A$37,0)),"")</f>
        <v>Lead Engineer</v>
      </c>
      <c r="G247" s="16" t="s">
        <v>202</v>
      </c>
      <c r="H247" s="16" t="str">
        <f>IFERROR(INDEX(competency_model!$C$2:$C$25,MATCH(G247,competency_model!$A$2:$A$25,0)),"")</f>
        <v>Tableau</v>
      </c>
      <c r="I247" s="16" t="str">
        <f>IFERROR(INDEX(competency_model!$D$2:$D$25,MATCH(G247,competency_model!$A$2:$A$25,0)),"")</f>
        <v>Dashboard Filtering and Actions</v>
      </c>
      <c r="J247" s="16">
        <f>IFERROR(INDEX(competency_model!$F$2:$F$25,MATCH(G247,competency_model!$A$2:$A$25,0)),"")</f>
        <v>3</v>
      </c>
      <c r="K247" s="16" t="str">
        <f>IFERROR(INDEX(competency_model!$G$2:$G$25,MATCH(G247,competency_model!$A$2:$A$25,0)),"")</f>
        <v>Medium</v>
      </c>
      <c r="L247" s="21">
        <v>4</v>
      </c>
      <c r="M247" s="21">
        <f t="shared" si="18"/>
        <v>0</v>
      </c>
      <c r="N247" s="16" t="str">
        <f t="shared" si="19"/>
        <v>No Gap</v>
      </c>
      <c r="O247" s="21">
        <f t="shared" si="20"/>
        <v>2</v>
      </c>
      <c r="P247" s="21">
        <f t="shared" si="21"/>
        <v>0</v>
      </c>
      <c r="Q247" s="16" t="str">
        <f t="shared" si="22"/>
        <v>Ready</v>
      </c>
      <c r="R247" s="16" t="s">
        <v>228</v>
      </c>
      <c r="S247" s="23">
        <v>46049.010009421298</v>
      </c>
      <c r="T247" s="25">
        <f t="shared" ca="1" si="23"/>
        <v>152.98999057870242</v>
      </c>
      <c r="U247" s="16" t="s">
        <v>223</v>
      </c>
      <c r="V247" s="16" t="s">
        <v>231</v>
      </c>
      <c r="W247" s="6" t="str">
        <f ca="1">IF(R247="Missing","Missing evidence",IF(T247&gt;365,"Stale assessment",IF(COUNTIFS($B$2:$B$264,B247,$G$2:$G$264,G247)&gt;1,"Duplicate competency record",IF(INDEX(employees!$H$2:$H$37,MATCH(B247,employees!$A$2:$A$37,0))="Inactive","Inactive account","OK"))))</f>
        <v>Inactive account</v>
      </c>
    </row>
    <row r="248" spans="1:23" ht="15" customHeight="1">
      <c r="A248" s="5" t="s">
        <v>477</v>
      </c>
      <c r="B248" s="16" t="s">
        <v>134</v>
      </c>
      <c r="C248" s="16" t="str">
        <f>IFERROR(INDEX(employees!$B$2:$B$37,MATCH(B248,employees!$A$2:$A$37,0)),"")</f>
        <v>Avery Williams</v>
      </c>
      <c r="D248" s="16" t="str">
        <f>IFERROR(INDEX(employees!$C$2:$C$37,MATCH(B248,employees!$A$2:$A$37,0)),"")</f>
        <v>Protection &amp; Control</v>
      </c>
      <c r="E248" s="16" t="str">
        <f>IFERROR(INDEX(employees!$D$2:$D$37,MATCH(B248,employees!$A$2:$A$37,0)),"")</f>
        <v>Engineering Management</v>
      </c>
      <c r="F248" s="16" t="str">
        <f>IFERROR(INDEX(employees!$E$2:$E$37,MATCH(B248,employees!$A$2:$A$37,0)),"")</f>
        <v>Lead Engineer</v>
      </c>
      <c r="G248" s="16" t="s">
        <v>160</v>
      </c>
      <c r="H248" s="16" t="str">
        <f>IFERROR(INDEX(competency_model!$C$2:$C$25,MATCH(G248,competency_model!$A$2:$A$25,0)),"")</f>
        <v>PowerPoint Presentation</v>
      </c>
      <c r="I248" s="16" t="str">
        <f>IFERROR(INDEX(competency_model!$D$2:$D$25,MATCH(G248,competency_model!$A$2:$A$25,0)),"")</f>
        <v>Leadership Storytelling</v>
      </c>
      <c r="J248" s="16">
        <f>IFERROR(INDEX(competency_model!$F$2:$F$25,MATCH(G248,competency_model!$A$2:$A$25,0)),"")</f>
        <v>3</v>
      </c>
      <c r="K248" s="16" t="str">
        <f>IFERROR(INDEX(competency_model!$G$2:$G$25,MATCH(G248,competency_model!$A$2:$A$25,0)),"")</f>
        <v>Medium</v>
      </c>
      <c r="L248" s="21">
        <v>2</v>
      </c>
      <c r="M248" s="21">
        <f t="shared" si="18"/>
        <v>1</v>
      </c>
      <c r="N248" s="16" t="str">
        <f t="shared" si="19"/>
        <v>Minor</v>
      </c>
      <c r="O248" s="21">
        <f t="shared" si="20"/>
        <v>2</v>
      </c>
      <c r="P248" s="21">
        <f t="shared" si="21"/>
        <v>2</v>
      </c>
      <c r="Q248" s="16" t="str">
        <f t="shared" si="22"/>
        <v>Development Needed</v>
      </c>
      <c r="R248" s="16" t="s">
        <v>228</v>
      </c>
      <c r="S248" s="23">
        <v>46097.443226516203</v>
      </c>
      <c r="T248" s="25">
        <f t="shared" ca="1" si="23"/>
        <v>104.55677348379686</v>
      </c>
      <c r="U248" s="16" t="s">
        <v>223</v>
      </c>
      <c r="V248" s="16" t="s">
        <v>231</v>
      </c>
      <c r="W248" s="6" t="str">
        <f ca="1">IF(R248="Missing","Missing evidence",IF(T248&gt;365,"Stale assessment",IF(COUNTIFS($B$2:$B$264,B248,$G$2:$G$264,G248)&gt;1,"Duplicate competency record",IF(INDEX(employees!$H$2:$H$37,MATCH(B248,employees!$A$2:$A$37,0))="Inactive","Inactive account","OK"))))</f>
        <v>OK</v>
      </c>
    </row>
    <row r="249" spans="1:23" ht="15" customHeight="1">
      <c r="A249" s="5" t="s">
        <v>478</v>
      </c>
      <c r="B249" s="16" t="s">
        <v>134</v>
      </c>
      <c r="C249" s="16" t="str">
        <f>IFERROR(INDEX(employees!$B$2:$B$37,MATCH(B249,employees!$A$2:$A$37,0)),"")</f>
        <v>Avery Williams</v>
      </c>
      <c r="D249" s="16" t="str">
        <f>IFERROR(INDEX(employees!$C$2:$C$37,MATCH(B249,employees!$A$2:$A$37,0)),"")</f>
        <v>Protection &amp; Control</v>
      </c>
      <c r="E249" s="16" t="str">
        <f>IFERROR(INDEX(employees!$D$2:$D$37,MATCH(B249,employees!$A$2:$A$37,0)),"")</f>
        <v>Engineering Management</v>
      </c>
      <c r="F249" s="16" t="str">
        <f>IFERROR(INDEX(employees!$E$2:$E$37,MATCH(B249,employees!$A$2:$A$37,0)),"")</f>
        <v>Lead Engineer</v>
      </c>
      <c r="G249" s="16" t="s">
        <v>178</v>
      </c>
      <c r="H249" s="16" t="str">
        <f>IFERROR(INDEX(competency_model!$C$2:$C$25,MATCH(G249,competency_model!$A$2:$A$25,0)),"")</f>
        <v>Stakeholder Communication</v>
      </c>
      <c r="I249" s="16" t="str">
        <f>IFERROR(INDEX(competency_model!$D$2:$D$25,MATCH(G249,competency_model!$A$2:$A$25,0)),"")</f>
        <v>Non-Technical Explanation</v>
      </c>
      <c r="J249" s="16">
        <f>IFERROR(INDEX(competency_model!$F$2:$F$25,MATCH(G249,competency_model!$A$2:$A$25,0)),"")</f>
        <v>3</v>
      </c>
      <c r="K249" s="16" t="str">
        <f>IFERROR(INDEX(competency_model!$G$2:$G$25,MATCH(G249,competency_model!$A$2:$A$25,0)),"")</f>
        <v>Medium</v>
      </c>
      <c r="L249" s="21">
        <v>4</v>
      </c>
      <c r="M249" s="21">
        <f t="shared" si="18"/>
        <v>0</v>
      </c>
      <c r="N249" s="16" t="str">
        <f t="shared" si="19"/>
        <v>No Gap</v>
      </c>
      <c r="O249" s="21">
        <f t="shared" si="20"/>
        <v>2</v>
      </c>
      <c r="P249" s="21">
        <f t="shared" si="21"/>
        <v>0</v>
      </c>
      <c r="Q249" s="16" t="str">
        <f t="shared" si="22"/>
        <v>Ready</v>
      </c>
      <c r="R249" s="16" t="s">
        <v>225</v>
      </c>
      <c r="S249" s="23">
        <v>46015.276998321759</v>
      </c>
      <c r="T249" s="25">
        <f t="shared" ca="1" si="23"/>
        <v>186.72300167824142</v>
      </c>
      <c r="U249" s="16" t="s">
        <v>223</v>
      </c>
      <c r="V249" s="16"/>
      <c r="W249" s="6" t="str">
        <f ca="1">IF(R249="Missing","Missing evidence",IF(T249&gt;365,"Stale assessment",IF(COUNTIFS($B$2:$B$264,B249,$G$2:$G$264,G249)&gt;1,"Duplicate competency record",IF(INDEX(employees!$H$2:$H$37,MATCH(B249,employees!$A$2:$A$37,0))="Inactive","Inactive account","OK"))))</f>
        <v>OK</v>
      </c>
    </row>
    <row r="250" spans="1:23" ht="15" customHeight="1">
      <c r="A250" s="5" t="s">
        <v>479</v>
      </c>
      <c r="B250" s="16" t="s">
        <v>134</v>
      </c>
      <c r="C250" s="16" t="str">
        <f>IFERROR(INDEX(employees!$B$2:$B$37,MATCH(B250,employees!$A$2:$A$37,0)),"")</f>
        <v>Avery Williams</v>
      </c>
      <c r="D250" s="16" t="str">
        <f>IFERROR(INDEX(employees!$C$2:$C$37,MATCH(B250,employees!$A$2:$A$37,0)),"")</f>
        <v>Protection &amp; Control</v>
      </c>
      <c r="E250" s="16" t="str">
        <f>IFERROR(INDEX(employees!$D$2:$D$37,MATCH(B250,employees!$A$2:$A$37,0)),"")</f>
        <v>Engineering Management</v>
      </c>
      <c r="F250" s="16" t="str">
        <f>IFERROR(INDEX(employees!$E$2:$E$37,MATCH(B250,employees!$A$2:$A$37,0)),"")</f>
        <v>Lead Engineer</v>
      </c>
      <c r="G250" s="16" t="s">
        <v>194</v>
      </c>
      <c r="H250" s="16" t="str">
        <f>IFERROR(INDEX(competency_model!$C$2:$C$25,MATCH(G250,competency_model!$A$2:$A$25,0)),"")</f>
        <v>Competency Systems</v>
      </c>
      <c r="I250" s="16" t="str">
        <f>IFERROR(INDEX(competency_model!$D$2:$D$25,MATCH(G250,competency_model!$A$2:$A$25,0)),"")</f>
        <v>Competency Model Maintenance</v>
      </c>
      <c r="J250" s="16">
        <f>IFERROR(INDEX(competency_model!$F$2:$F$25,MATCH(G250,competency_model!$A$2:$A$25,0)),"")</f>
        <v>3</v>
      </c>
      <c r="K250" s="16" t="str">
        <f>IFERROR(INDEX(competency_model!$G$2:$G$25,MATCH(G250,competency_model!$A$2:$A$25,0)),"")</f>
        <v>High</v>
      </c>
      <c r="L250" s="21">
        <v>2</v>
      </c>
      <c r="M250" s="21">
        <f t="shared" si="18"/>
        <v>1</v>
      </c>
      <c r="N250" s="16" t="str">
        <f t="shared" si="19"/>
        <v>Minor</v>
      </c>
      <c r="O250" s="21">
        <f t="shared" si="20"/>
        <v>3</v>
      </c>
      <c r="P250" s="21">
        <f t="shared" si="21"/>
        <v>3</v>
      </c>
      <c r="Q250" s="16" t="str">
        <f t="shared" si="22"/>
        <v>Development Needed</v>
      </c>
      <c r="R250" s="16" t="s">
        <v>222</v>
      </c>
      <c r="S250" s="23">
        <v>46115.216209375001</v>
      </c>
      <c r="T250" s="25">
        <f t="shared" ca="1" si="23"/>
        <v>86.783790624998801</v>
      </c>
      <c r="U250" s="16" t="s">
        <v>242</v>
      </c>
      <c r="V250" s="16" t="s">
        <v>239</v>
      </c>
      <c r="W250" s="6" t="str">
        <f>IF(R250="Missing","Missing evidence",IF(T250&gt;365,"Stale assessment",IF(COUNTIFS($B$2:$B$264,B250,$G$2:$G$264,G250)&gt;1,"Duplicate competency record",IF(INDEX(employees!$H$2:$H$37,MATCH(B250,employees!$A$2:$A$37,0))="Inactive","Inactive account","OK"))))</f>
        <v>Missing evidence</v>
      </c>
    </row>
    <row r="251" spans="1:23" ht="15" customHeight="1">
      <c r="A251" s="5" t="s">
        <v>480</v>
      </c>
      <c r="B251" s="16" t="s">
        <v>134</v>
      </c>
      <c r="C251" s="16" t="str">
        <f>IFERROR(INDEX(employees!$B$2:$B$37,MATCH(B251,employees!$A$2:$A$37,0)),"")</f>
        <v>Avery Williams</v>
      </c>
      <c r="D251" s="16" t="str">
        <f>IFERROR(INDEX(employees!$C$2:$C$37,MATCH(B251,employees!$A$2:$A$37,0)),"")</f>
        <v>Protection &amp; Control</v>
      </c>
      <c r="E251" s="16" t="str">
        <f>IFERROR(INDEX(employees!$D$2:$D$37,MATCH(B251,employees!$A$2:$A$37,0)),"")</f>
        <v>Engineering Management</v>
      </c>
      <c r="F251" s="16" t="str">
        <f>IFERROR(INDEX(employees!$E$2:$E$37,MATCH(B251,employees!$A$2:$A$37,0)),"")</f>
        <v>Lead Engineer</v>
      </c>
      <c r="G251" s="16" t="s">
        <v>163</v>
      </c>
      <c r="H251" s="16" t="str">
        <f>IFERROR(INDEX(competency_model!$C$2:$C$25,MATCH(G251,competency_model!$A$2:$A$25,0)),"")</f>
        <v>Engineering Documentation</v>
      </c>
      <c r="I251" s="16" t="str">
        <f>IFERROR(INDEX(competency_model!$D$2:$D$25,MATCH(G251,competency_model!$A$2:$A$25,0)),"")</f>
        <v>Technical Documentation</v>
      </c>
      <c r="J251" s="16">
        <f>IFERROR(INDEX(competency_model!$F$2:$F$25,MATCH(G251,competency_model!$A$2:$A$25,0)),"")</f>
        <v>4</v>
      </c>
      <c r="K251" s="16" t="str">
        <f>IFERROR(INDEX(competency_model!$G$2:$G$25,MATCH(G251,competency_model!$A$2:$A$25,0)),"")</f>
        <v>High</v>
      </c>
      <c r="L251" s="21">
        <v>4</v>
      </c>
      <c r="M251" s="21">
        <f t="shared" si="18"/>
        <v>0</v>
      </c>
      <c r="N251" s="16" t="str">
        <f t="shared" si="19"/>
        <v>No Gap</v>
      </c>
      <c r="O251" s="21">
        <f t="shared" si="20"/>
        <v>3</v>
      </c>
      <c r="P251" s="21">
        <f t="shared" si="21"/>
        <v>0</v>
      </c>
      <c r="Q251" s="16" t="str">
        <f t="shared" si="22"/>
        <v>Ready</v>
      </c>
      <c r="R251" s="16" t="s">
        <v>222</v>
      </c>
      <c r="S251" s="23">
        <v>45682.829146064818</v>
      </c>
      <c r="T251" s="25">
        <f t="shared" ca="1" si="23"/>
        <v>519.17085393518209</v>
      </c>
      <c r="U251" s="16" t="s">
        <v>223</v>
      </c>
      <c r="V251" s="16"/>
      <c r="W251" s="6" t="str">
        <f>IF(R251="Missing","Missing evidence",IF(T251&gt;365,"Stale assessment",IF(COUNTIFS($B$2:$B$264,B251,$G$2:$G$264,G251)&gt;1,"Duplicate competency record",IF(INDEX(employees!$H$2:$H$37,MATCH(B251,employees!$A$2:$A$37,0))="Inactive","Inactive account","OK"))))</f>
        <v>Missing evidence</v>
      </c>
    </row>
    <row r="252" spans="1:23" ht="15" customHeight="1">
      <c r="A252" s="5" t="s">
        <v>481</v>
      </c>
      <c r="B252" s="16" t="s">
        <v>134</v>
      </c>
      <c r="C252" s="16" t="str">
        <f>IFERROR(INDEX(employees!$B$2:$B$37,MATCH(B252,employees!$A$2:$A$37,0)),"")</f>
        <v>Avery Williams</v>
      </c>
      <c r="D252" s="16" t="str">
        <f>IFERROR(INDEX(employees!$C$2:$C$37,MATCH(B252,employees!$A$2:$A$37,0)),"")</f>
        <v>Protection &amp; Control</v>
      </c>
      <c r="E252" s="16" t="str">
        <f>IFERROR(INDEX(employees!$D$2:$D$37,MATCH(B252,employees!$A$2:$A$37,0)),"")</f>
        <v>Engineering Management</v>
      </c>
      <c r="F252" s="16" t="str">
        <f>IFERROR(INDEX(employees!$E$2:$E$37,MATCH(B252,employees!$A$2:$A$37,0)),"")</f>
        <v>Lead Engineer</v>
      </c>
      <c r="G252" s="16" t="s">
        <v>154</v>
      </c>
      <c r="H252" s="16" t="str">
        <f>IFERROR(INDEX(competency_model!$C$2:$C$25,MATCH(G252,competency_model!$A$2:$A$25,0)),"")</f>
        <v>Excel Reporting</v>
      </c>
      <c r="I252" s="16" t="str">
        <f>IFERROR(INDEX(competency_model!$D$2:$D$25,MATCH(G252,competency_model!$A$2:$A$25,0)),"")</f>
        <v>PivotTables and Power Query</v>
      </c>
      <c r="J252" s="16">
        <f>IFERROR(INDEX(competency_model!$F$2:$F$25,MATCH(G252,competency_model!$A$2:$A$25,0)),"")</f>
        <v>4</v>
      </c>
      <c r="K252" s="16" t="str">
        <f>IFERROR(INDEX(competency_model!$G$2:$G$25,MATCH(G252,competency_model!$A$2:$A$25,0)),"")</f>
        <v>High</v>
      </c>
      <c r="L252" s="21">
        <v>3</v>
      </c>
      <c r="M252" s="21">
        <f t="shared" si="18"/>
        <v>1</v>
      </c>
      <c r="N252" s="16" t="str">
        <f t="shared" si="19"/>
        <v>Minor</v>
      </c>
      <c r="O252" s="21">
        <f t="shared" si="20"/>
        <v>3</v>
      </c>
      <c r="P252" s="21">
        <f t="shared" si="21"/>
        <v>3</v>
      </c>
      <c r="Q252" s="16" t="str">
        <f t="shared" si="22"/>
        <v>Development Needed</v>
      </c>
      <c r="R252" s="16" t="s">
        <v>228</v>
      </c>
      <c r="S252" s="23">
        <v>46042.720403298612</v>
      </c>
      <c r="T252" s="25">
        <f t="shared" ca="1" si="23"/>
        <v>159.27959670138807</v>
      </c>
      <c r="U252" s="16" t="s">
        <v>223</v>
      </c>
      <c r="V252" s="16"/>
      <c r="W252" s="6" t="str">
        <f ca="1">IF(R252="Missing","Missing evidence",IF(T252&gt;365,"Stale assessment",IF(COUNTIFS($B$2:$B$264,B252,$G$2:$G$264,G252)&gt;1,"Duplicate competency record",IF(INDEX(employees!$H$2:$H$37,MATCH(B252,employees!$A$2:$A$37,0))="Inactive","Inactive account","OK"))))</f>
        <v>OK</v>
      </c>
    </row>
    <row r="253" spans="1:23" ht="15" customHeight="1">
      <c r="A253" s="5" t="s">
        <v>482</v>
      </c>
      <c r="B253" s="16" t="s">
        <v>134</v>
      </c>
      <c r="C253" s="16" t="str">
        <f>IFERROR(INDEX(employees!$B$2:$B$37,MATCH(B253,employees!$A$2:$A$37,0)),"")</f>
        <v>Avery Williams</v>
      </c>
      <c r="D253" s="16" t="str">
        <f>IFERROR(INDEX(employees!$C$2:$C$37,MATCH(B253,employees!$A$2:$A$37,0)),"")</f>
        <v>Protection &amp; Control</v>
      </c>
      <c r="E253" s="16" t="str">
        <f>IFERROR(INDEX(employees!$D$2:$D$37,MATCH(B253,employees!$A$2:$A$37,0)),"")</f>
        <v>Engineering Management</v>
      </c>
      <c r="F253" s="16" t="str">
        <f>IFERROR(INDEX(employees!$E$2:$E$37,MATCH(B253,employees!$A$2:$A$37,0)),"")</f>
        <v>Lead Engineer</v>
      </c>
      <c r="G253" s="16" t="s">
        <v>175</v>
      </c>
      <c r="H253" s="16" t="str">
        <f>IFERROR(INDEX(competency_model!$C$2:$C$25,MATCH(G253,competency_model!$A$2:$A$25,0)),"")</f>
        <v>Safety / Compliance</v>
      </c>
      <c r="I253" s="16" t="str">
        <f>IFERROR(INDEX(competency_model!$D$2:$D$25,MATCH(G253,competency_model!$A$2:$A$25,0)),"")</f>
        <v>Engineering Safety Awareness</v>
      </c>
      <c r="J253" s="16">
        <f>IFERROR(INDEX(competency_model!$F$2:$F$25,MATCH(G253,competency_model!$A$2:$A$25,0)),"")</f>
        <v>4</v>
      </c>
      <c r="K253" s="16" t="str">
        <f>IFERROR(INDEX(competency_model!$G$2:$G$25,MATCH(G253,competency_model!$A$2:$A$25,0)),"")</f>
        <v>High</v>
      </c>
      <c r="L253" s="21">
        <v>2</v>
      </c>
      <c r="M253" s="21">
        <f t="shared" si="18"/>
        <v>2</v>
      </c>
      <c r="N253" s="16" t="str">
        <f t="shared" si="19"/>
        <v>Moderate</v>
      </c>
      <c r="O253" s="21">
        <f t="shared" si="20"/>
        <v>3</v>
      </c>
      <c r="P253" s="21">
        <f t="shared" si="21"/>
        <v>6</v>
      </c>
      <c r="Q253" s="16" t="str">
        <f t="shared" si="22"/>
        <v>Development Needed</v>
      </c>
      <c r="R253" s="16" t="s">
        <v>228</v>
      </c>
      <c r="S253" s="23">
        <v>46183.943092789355</v>
      </c>
      <c r="T253" s="25">
        <f t="shared" ca="1" si="23"/>
        <v>18.056907210644567</v>
      </c>
      <c r="U253" s="16" t="s">
        <v>223</v>
      </c>
      <c r="V253" s="16" t="s">
        <v>226</v>
      </c>
      <c r="W253" s="6" t="str">
        <f ca="1">IF(R253="Missing","Missing evidence",IF(T253&gt;365,"Stale assessment",IF(COUNTIFS($B$2:$B$264,B253,$G$2:$G$264,G253)&gt;1,"Duplicate competency record",IF(INDEX(employees!$H$2:$H$37,MATCH(B253,employees!$A$2:$A$37,0))="Inactive","Inactive account","OK"))))</f>
        <v>OK</v>
      </c>
    </row>
    <row r="254" spans="1:23" ht="15" customHeight="1">
      <c r="A254" s="5" t="s">
        <v>483</v>
      </c>
      <c r="B254" s="16" t="s">
        <v>134</v>
      </c>
      <c r="C254" s="16" t="str">
        <f>IFERROR(INDEX(employees!$B$2:$B$37,MATCH(B254,employees!$A$2:$A$37,0)),"")</f>
        <v>Avery Williams</v>
      </c>
      <c r="D254" s="16" t="str">
        <f>IFERROR(INDEX(employees!$C$2:$C$37,MATCH(B254,employees!$A$2:$A$37,0)),"")</f>
        <v>Protection &amp; Control</v>
      </c>
      <c r="E254" s="16" t="str">
        <f>IFERROR(INDEX(employees!$D$2:$D$37,MATCH(B254,employees!$A$2:$A$37,0)),"")</f>
        <v>Engineering Management</v>
      </c>
      <c r="F254" s="16" t="str">
        <f>IFERROR(INDEX(employees!$E$2:$E$37,MATCH(B254,employees!$A$2:$A$37,0)),"")</f>
        <v>Lead Engineer</v>
      </c>
      <c r="G254" s="16" t="s">
        <v>204</v>
      </c>
      <c r="H254" s="16" t="str">
        <f>IFERROR(INDEX(competency_model!$C$2:$C$25,MATCH(G254,competency_model!$A$2:$A$25,0)),"")</f>
        <v>PowerPoint Presentation</v>
      </c>
      <c r="I254" s="16" t="str">
        <f>IFERROR(INDEX(competency_model!$D$2:$D$25,MATCH(G254,competency_model!$A$2:$A$25,0)),"")</f>
        <v>Executive Summary Slides</v>
      </c>
      <c r="J254" s="16">
        <f>IFERROR(INDEX(competency_model!$F$2:$F$25,MATCH(G254,competency_model!$A$2:$A$25,0)),"")</f>
        <v>3</v>
      </c>
      <c r="K254" s="16" t="str">
        <f>IFERROR(INDEX(competency_model!$G$2:$G$25,MATCH(G254,competency_model!$A$2:$A$25,0)),"")</f>
        <v>Medium</v>
      </c>
      <c r="L254" s="21">
        <v>1</v>
      </c>
      <c r="M254" s="21">
        <f t="shared" si="18"/>
        <v>2</v>
      </c>
      <c r="N254" s="16" t="str">
        <f t="shared" si="19"/>
        <v>Moderate</v>
      </c>
      <c r="O254" s="21">
        <f t="shared" si="20"/>
        <v>2</v>
      </c>
      <c r="P254" s="21">
        <f t="shared" si="21"/>
        <v>4</v>
      </c>
      <c r="Q254" s="16" t="str">
        <f t="shared" si="22"/>
        <v>Development Needed</v>
      </c>
      <c r="R254" s="16" t="s">
        <v>225</v>
      </c>
      <c r="S254" s="23">
        <v>45974.295361307872</v>
      </c>
      <c r="T254" s="25">
        <f t="shared" ca="1" si="23"/>
        <v>227.70463869212836</v>
      </c>
      <c r="U254" s="16" t="s">
        <v>242</v>
      </c>
      <c r="V254" s="16" t="s">
        <v>231</v>
      </c>
      <c r="W254" s="6" t="str">
        <f ca="1">IF(R254="Missing","Missing evidence",IF(T254&gt;365,"Stale assessment",IF(COUNTIFS($B$2:$B$264,B254,$G$2:$G$264,G254)&gt;1,"Duplicate competency record",IF(INDEX(employees!$H$2:$H$37,MATCH(B254,employees!$A$2:$A$37,0))="Inactive","Inactive account","OK"))))</f>
        <v>OK</v>
      </c>
    </row>
    <row r="255" spans="1:23" ht="15" customHeight="1">
      <c r="A255" s="5" t="s">
        <v>484</v>
      </c>
      <c r="B255" s="16" t="s">
        <v>136</v>
      </c>
      <c r="C255" s="16" t="str">
        <f>IFERROR(INDEX(employees!$B$2:$B$37,MATCH(B255,employees!$A$2:$A$37,0)),"")</f>
        <v>Robin Patel</v>
      </c>
      <c r="D255" s="16" t="str">
        <f>IFERROR(INDEX(employees!$C$2:$C$37,MATCH(B255,employees!$A$2:$A$37,0)),"")</f>
        <v>Asset Management</v>
      </c>
      <c r="E255" s="16" t="str">
        <f>IFERROR(INDEX(employees!$D$2:$D$37,MATCH(B255,employees!$A$2:$A$37,0)),"")</f>
        <v>Testing &amp; Validation</v>
      </c>
      <c r="F255" s="16" t="str">
        <f>IFERROR(INDEX(employees!$E$2:$E$37,MATCH(B255,employees!$A$2:$A$37,0)),"")</f>
        <v>Lead Engineer</v>
      </c>
      <c r="G255" s="16" t="s">
        <v>175</v>
      </c>
      <c r="H255" s="16" t="str">
        <f>IFERROR(INDEX(competency_model!$C$2:$C$25,MATCH(G255,competency_model!$A$2:$A$25,0)),"")</f>
        <v>Safety / Compliance</v>
      </c>
      <c r="I255" s="16" t="str">
        <f>IFERROR(INDEX(competency_model!$D$2:$D$25,MATCH(G255,competency_model!$A$2:$A$25,0)),"")</f>
        <v>Engineering Safety Awareness</v>
      </c>
      <c r="J255" s="16">
        <f>IFERROR(INDEX(competency_model!$F$2:$F$25,MATCH(G255,competency_model!$A$2:$A$25,0)),"")</f>
        <v>4</v>
      </c>
      <c r="K255" s="16" t="str">
        <f>IFERROR(INDEX(competency_model!$G$2:$G$25,MATCH(G255,competency_model!$A$2:$A$25,0)),"")</f>
        <v>High</v>
      </c>
      <c r="L255" s="21">
        <v>3</v>
      </c>
      <c r="M255" s="21">
        <f t="shared" si="18"/>
        <v>1</v>
      </c>
      <c r="N255" s="16" t="str">
        <f t="shared" si="19"/>
        <v>Minor</v>
      </c>
      <c r="O255" s="21">
        <f t="shared" si="20"/>
        <v>3</v>
      </c>
      <c r="P255" s="21">
        <f t="shared" si="21"/>
        <v>3</v>
      </c>
      <c r="Q255" s="16" t="str">
        <f t="shared" si="22"/>
        <v>Development Needed</v>
      </c>
      <c r="R255" s="16" t="s">
        <v>228</v>
      </c>
      <c r="S255" s="23">
        <v>46070.058130902777</v>
      </c>
      <c r="T255" s="25">
        <f t="shared" ca="1" si="23"/>
        <v>131.94186909722339</v>
      </c>
      <c r="U255" s="16" t="s">
        <v>223</v>
      </c>
      <c r="V255" s="16" t="s">
        <v>226</v>
      </c>
      <c r="W255" s="6" t="str">
        <f ca="1">IF(R255="Missing","Missing evidence",IF(T255&gt;365,"Stale assessment",IF(COUNTIFS($B$2:$B$264,B255,$G$2:$G$264,G255)&gt;1,"Duplicate competency record",IF(INDEX(employees!$H$2:$H$37,MATCH(B255,employees!$A$2:$A$37,0))="Inactive","Inactive account","OK"))))</f>
        <v>OK</v>
      </c>
    </row>
    <row r="256" spans="1:23" ht="15" customHeight="1">
      <c r="A256" s="5" t="s">
        <v>485</v>
      </c>
      <c r="B256" s="16" t="s">
        <v>136</v>
      </c>
      <c r="C256" s="16" t="str">
        <f>IFERROR(INDEX(employees!$B$2:$B$37,MATCH(B256,employees!$A$2:$A$37,0)),"")</f>
        <v>Robin Patel</v>
      </c>
      <c r="D256" s="16" t="str">
        <f>IFERROR(INDEX(employees!$C$2:$C$37,MATCH(B256,employees!$A$2:$A$37,0)),"")</f>
        <v>Asset Management</v>
      </c>
      <c r="E256" s="16" t="str">
        <f>IFERROR(INDEX(employees!$D$2:$D$37,MATCH(B256,employees!$A$2:$A$37,0)),"")</f>
        <v>Testing &amp; Validation</v>
      </c>
      <c r="F256" s="16" t="str">
        <f>IFERROR(INDEX(employees!$E$2:$E$37,MATCH(B256,employees!$A$2:$A$37,0)),"")</f>
        <v>Lead Engineer</v>
      </c>
      <c r="G256" s="16" t="s">
        <v>197</v>
      </c>
      <c r="H256" s="16" t="str">
        <f>IFERROR(INDEX(competency_model!$C$2:$C$25,MATCH(G256,competency_model!$A$2:$A$25,0)),"")</f>
        <v>User Support</v>
      </c>
      <c r="I256" s="16" t="str">
        <f>IFERROR(INDEX(competency_model!$D$2:$D$25,MATCH(G256,competency_model!$A$2:$A$25,0)),"")</f>
        <v>Competency Tool User Support</v>
      </c>
      <c r="J256" s="16">
        <f>IFERROR(INDEX(competency_model!$F$2:$F$25,MATCH(G256,competency_model!$A$2:$A$25,0)),"")</f>
        <v>3</v>
      </c>
      <c r="K256" s="16" t="str">
        <f>IFERROR(INDEX(competency_model!$G$2:$G$25,MATCH(G256,competency_model!$A$2:$A$25,0)),"")</f>
        <v>Medium</v>
      </c>
      <c r="L256" s="21">
        <v>2</v>
      </c>
      <c r="M256" s="21">
        <f t="shared" si="18"/>
        <v>1</v>
      </c>
      <c r="N256" s="16" t="str">
        <f t="shared" si="19"/>
        <v>Minor</v>
      </c>
      <c r="O256" s="21">
        <f t="shared" si="20"/>
        <v>2</v>
      </c>
      <c r="P256" s="21">
        <f t="shared" si="21"/>
        <v>2</v>
      </c>
      <c r="Q256" s="16" t="str">
        <f t="shared" si="22"/>
        <v>Development Needed</v>
      </c>
      <c r="R256" s="16" t="s">
        <v>225</v>
      </c>
      <c r="S256" s="23">
        <v>45709.005806574074</v>
      </c>
      <c r="T256" s="25">
        <f t="shared" ca="1" si="23"/>
        <v>492.99419342592591</v>
      </c>
      <c r="U256" s="16" t="s">
        <v>223</v>
      </c>
      <c r="V256" s="16" t="s">
        <v>231</v>
      </c>
      <c r="W256" s="6" t="str">
        <f ca="1">IF(R256="Missing","Missing evidence",IF(T256&gt;365,"Stale assessment",IF(COUNTIFS($B$2:$B$264,B256,$G$2:$G$264,G256)&gt;1,"Duplicate competency record",IF(INDEX(employees!$H$2:$H$37,MATCH(B256,employees!$A$2:$A$37,0))="Inactive","Inactive account","OK"))))</f>
        <v>Stale assessment</v>
      </c>
    </row>
    <row r="257" spans="1:23" ht="15" customHeight="1">
      <c r="A257" s="5" t="s">
        <v>486</v>
      </c>
      <c r="B257" s="16" t="s">
        <v>136</v>
      </c>
      <c r="C257" s="16" t="str">
        <f>IFERROR(INDEX(employees!$B$2:$B$37,MATCH(B257,employees!$A$2:$A$37,0)),"")</f>
        <v>Robin Patel</v>
      </c>
      <c r="D257" s="16" t="str">
        <f>IFERROR(INDEX(employees!$C$2:$C$37,MATCH(B257,employees!$A$2:$A$37,0)),"")</f>
        <v>Asset Management</v>
      </c>
      <c r="E257" s="16" t="str">
        <f>IFERROR(INDEX(employees!$D$2:$D$37,MATCH(B257,employees!$A$2:$A$37,0)),"")</f>
        <v>Testing &amp; Validation</v>
      </c>
      <c r="F257" s="16" t="str">
        <f>IFERROR(INDEX(employees!$E$2:$E$37,MATCH(B257,employees!$A$2:$A$37,0)),"")</f>
        <v>Lead Engineer</v>
      </c>
      <c r="G257" s="16" t="s">
        <v>189</v>
      </c>
      <c r="H257" s="16" t="str">
        <f>IFERROR(INDEX(competency_model!$C$2:$C$25,MATCH(G257,competency_model!$A$2:$A$25,0)),"")</f>
        <v>Data Quality</v>
      </c>
      <c r="I257" s="16" t="str">
        <f>IFERROR(INDEX(competency_model!$D$2:$D$25,MATCH(G257,competency_model!$A$2:$A$25,0)),"")</f>
        <v>Duplicate and Missing Value Checks</v>
      </c>
      <c r="J257" s="16">
        <f>IFERROR(INDEX(competency_model!$F$2:$F$25,MATCH(G257,competency_model!$A$2:$A$25,0)),"")</f>
        <v>4</v>
      </c>
      <c r="K257" s="16" t="str">
        <f>IFERROR(INDEX(competency_model!$G$2:$G$25,MATCH(G257,competency_model!$A$2:$A$25,0)),"")</f>
        <v>High</v>
      </c>
      <c r="L257" s="21">
        <v>4</v>
      </c>
      <c r="M257" s="21">
        <f t="shared" si="18"/>
        <v>0</v>
      </c>
      <c r="N257" s="16" t="str">
        <f t="shared" si="19"/>
        <v>No Gap</v>
      </c>
      <c r="O257" s="21">
        <f t="shared" si="20"/>
        <v>3</v>
      </c>
      <c r="P257" s="21">
        <f t="shared" si="21"/>
        <v>0</v>
      </c>
      <c r="Q257" s="16" t="str">
        <f t="shared" si="22"/>
        <v>Ready</v>
      </c>
      <c r="R257" s="16" t="s">
        <v>222</v>
      </c>
      <c r="S257" s="23">
        <v>46010.286399108794</v>
      </c>
      <c r="T257" s="25">
        <f t="shared" ca="1" si="23"/>
        <v>191.71360089120572</v>
      </c>
      <c r="U257" s="16" t="s">
        <v>242</v>
      </c>
      <c r="V257" s="16"/>
      <c r="W257" s="6" t="str">
        <f>IF(R257="Missing","Missing evidence",IF(T257&gt;365,"Stale assessment",IF(COUNTIFS($B$2:$B$264,B257,$G$2:$G$264,G257)&gt;1,"Duplicate competency record",IF(INDEX(employees!$H$2:$H$37,MATCH(B257,employees!$A$2:$A$37,0))="Inactive","Inactive account","OK"))))</f>
        <v>Missing evidence</v>
      </c>
    </row>
    <row r="258" spans="1:23" ht="15" customHeight="1">
      <c r="A258" s="5" t="s">
        <v>487</v>
      </c>
      <c r="B258" s="16" t="s">
        <v>136</v>
      </c>
      <c r="C258" s="16" t="str">
        <f>IFERROR(INDEX(employees!$B$2:$B$37,MATCH(B258,employees!$A$2:$A$37,0)),"")</f>
        <v>Robin Patel</v>
      </c>
      <c r="D258" s="16" t="str">
        <f>IFERROR(INDEX(employees!$C$2:$C$37,MATCH(B258,employees!$A$2:$A$37,0)),"")</f>
        <v>Asset Management</v>
      </c>
      <c r="E258" s="16" t="str">
        <f>IFERROR(INDEX(employees!$D$2:$D$37,MATCH(B258,employees!$A$2:$A$37,0)),"")</f>
        <v>Testing &amp; Validation</v>
      </c>
      <c r="F258" s="16" t="str">
        <f>IFERROR(INDEX(employees!$E$2:$E$37,MATCH(B258,employees!$A$2:$A$37,0)),"")</f>
        <v>Lead Engineer</v>
      </c>
      <c r="G258" s="16" t="s">
        <v>154</v>
      </c>
      <c r="H258" s="16" t="str">
        <f>IFERROR(INDEX(competency_model!$C$2:$C$25,MATCH(G258,competency_model!$A$2:$A$25,0)),"")</f>
        <v>Excel Reporting</v>
      </c>
      <c r="I258" s="16" t="str">
        <f>IFERROR(INDEX(competency_model!$D$2:$D$25,MATCH(G258,competency_model!$A$2:$A$25,0)),"")</f>
        <v>PivotTables and Power Query</v>
      </c>
      <c r="J258" s="16">
        <f>IFERROR(INDEX(competency_model!$F$2:$F$25,MATCH(G258,competency_model!$A$2:$A$25,0)),"")</f>
        <v>4</v>
      </c>
      <c r="K258" s="16" t="str">
        <f>IFERROR(INDEX(competency_model!$G$2:$G$25,MATCH(G258,competency_model!$A$2:$A$25,0)),"")</f>
        <v>High</v>
      </c>
      <c r="L258" s="21">
        <v>1</v>
      </c>
      <c r="M258" s="21">
        <f t="shared" ref="M258:M264" si="24">MAX(0,J258-L258)</f>
        <v>3</v>
      </c>
      <c r="N258" s="16" t="str">
        <f t="shared" ref="N258:N264" si="25">IF(M258=0,"No Gap",IF(M258=1,"Minor",IF(M258=2,"Moderate","Critical")))</f>
        <v>Critical</v>
      </c>
      <c r="O258" s="21">
        <f t="shared" ref="O258:O264" si="26">IF(K258="High",3,IF(K258="Medium",2,1))</f>
        <v>3</v>
      </c>
      <c r="P258" s="21">
        <f t="shared" ref="P258:P264" si="27">M258*O258</f>
        <v>9</v>
      </c>
      <c r="Q258" s="16" t="str">
        <f t="shared" ref="Q258:Q264" si="28">IF(L258&gt;=J258,"Ready","Development Needed")</f>
        <v>Development Needed</v>
      </c>
      <c r="R258" s="16" t="s">
        <v>222</v>
      </c>
      <c r="S258" s="23">
        <v>46103.121253738427</v>
      </c>
      <c r="T258" s="25">
        <f t="shared" ref="T258:T264" ca="1" si="29">TODAY()-S258</f>
        <v>98.878746261572815</v>
      </c>
      <c r="U258" s="16" t="s">
        <v>223</v>
      </c>
      <c r="V258" s="16" t="s">
        <v>239</v>
      </c>
      <c r="W258" s="6" t="str">
        <f>IF(R258="Missing","Missing evidence",IF(T258&gt;365,"Stale assessment",IF(COUNTIFS($B$2:$B$264,B258,$G$2:$G$264,G258)&gt;1,"Duplicate competency record",IF(INDEX(employees!$H$2:$H$37,MATCH(B258,employees!$A$2:$A$37,0))="Inactive","Inactive account","OK"))))</f>
        <v>Missing evidence</v>
      </c>
    </row>
    <row r="259" spans="1:23" ht="15" customHeight="1">
      <c r="A259" s="5" t="s">
        <v>488</v>
      </c>
      <c r="B259" s="16" t="s">
        <v>136</v>
      </c>
      <c r="C259" s="16" t="str">
        <f>IFERROR(INDEX(employees!$B$2:$B$37,MATCH(B259,employees!$A$2:$A$37,0)),"")</f>
        <v>Robin Patel</v>
      </c>
      <c r="D259" s="16" t="str">
        <f>IFERROR(INDEX(employees!$C$2:$C$37,MATCH(B259,employees!$A$2:$A$37,0)),"")</f>
        <v>Asset Management</v>
      </c>
      <c r="E259" s="16" t="str">
        <f>IFERROR(INDEX(employees!$D$2:$D$37,MATCH(B259,employees!$A$2:$A$37,0)),"")</f>
        <v>Testing &amp; Validation</v>
      </c>
      <c r="F259" s="16" t="str">
        <f>IFERROR(INDEX(employees!$E$2:$E$37,MATCH(B259,employees!$A$2:$A$37,0)),"")</f>
        <v>Lead Engineer</v>
      </c>
      <c r="G259" s="16" t="s">
        <v>163</v>
      </c>
      <c r="H259" s="16" t="str">
        <f>IFERROR(INDEX(competency_model!$C$2:$C$25,MATCH(G259,competency_model!$A$2:$A$25,0)),"")</f>
        <v>Engineering Documentation</v>
      </c>
      <c r="I259" s="16" t="str">
        <f>IFERROR(INDEX(competency_model!$D$2:$D$25,MATCH(G259,competency_model!$A$2:$A$25,0)),"")</f>
        <v>Technical Documentation</v>
      </c>
      <c r="J259" s="16">
        <f>IFERROR(INDEX(competency_model!$F$2:$F$25,MATCH(G259,competency_model!$A$2:$A$25,0)),"")</f>
        <v>4</v>
      </c>
      <c r="K259" s="16" t="str">
        <f>IFERROR(INDEX(competency_model!$G$2:$G$25,MATCH(G259,competency_model!$A$2:$A$25,0)),"")</f>
        <v>High</v>
      </c>
      <c r="L259" s="21">
        <v>2</v>
      </c>
      <c r="M259" s="21">
        <f t="shared" si="24"/>
        <v>2</v>
      </c>
      <c r="N259" s="16" t="str">
        <f t="shared" si="25"/>
        <v>Moderate</v>
      </c>
      <c r="O259" s="21">
        <f t="shared" si="26"/>
        <v>3</v>
      </c>
      <c r="P259" s="21">
        <f t="shared" si="27"/>
        <v>6</v>
      </c>
      <c r="Q259" s="16" t="str">
        <f t="shared" si="28"/>
        <v>Development Needed</v>
      </c>
      <c r="R259" s="16" t="s">
        <v>222</v>
      </c>
      <c r="S259" s="23">
        <v>46138.883073784724</v>
      </c>
      <c r="T259" s="25">
        <f t="shared" ca="1" si="29"/>
        <v>63.11692621527618</v>
      </c>
      <c r="U259" s="16" t="s">
        <v>229</v>
      </c>
      <c r="V259" s="16" t="s">
        <v>233</v>
      </c>
      <c r="W259" s="6" t="str">
        <f>IF(R259="Missing","Missing evidence",IF(T259&gt;365,"Stale assessment",IF(COUNTIFS($B$2:$B$264,B259,$G$2:$G$264,G259)&gt;1,"Duplicate competency record",IF(INDEX(employees!$H$2:$H$37,MATCH(B259,employees!$A$2:$A$37,0))="Inactive","Inactive account","OK"))))</f>
        <v>Missing evidence</v>
      </c>
    </row>
    <row r="260" spans="1:23" ht="15" customHeight="1">
      <c r="A260" s="5" t="s">
        <v>489</v>
      </c>
      <c r="B260" s="16" t="s">
        <v>136</v>
      </c>
      <c r="C260" s="16" t="str">
        <f>IFERROR(INDEX(employees!$B$2:$B$37,MATCH(B260,employees!$A$2:$A$37,0)),"")</f>
        <v>Robin Patel</v>
      </c>
      <c r="D260" s="16" t="str">
        <f>IFERROR(INDEX(employees!$C$2:$C$37,MATCH(B260,employees!$A$2:$A$37,0)),"")</f>
        <v>Asset Management</v>
      </c>
      <c r="E260" s="16" t="str">
        <f>IFERROR(INDEX(employees!$D$2:$D$37,MATCH(B260,employees!$A$2:$A$37,0)),"")</f>
        <v>Testing &amp; Validation</v>
      </c>
      <c r="F260" s="16" t="str">
        <f>IFERROR(INDEX(employees!$E$2:$E$37,MATCH(B260,employees!$A$2:$A$37,0)),"")</f>
        <v>Lead Engineer</v>
      </c>
      <c r="G260" s="16" t="s">
        <v>171</v>
      </c>
      <c r="H260" s="16" t="str">
        <f>IFERROR(INDEX(competency_model!$C$2:$C$25,MATCH(G260,competency_model!$A$2:$A$25,0)),"")</f>
        <v>Testing &amp; Validation</v>
      </c>
      <c r="I260" s="16" t="str">
        <f>IFERROR(INDEX(competency_model!$D$2:$D$25,MATCH(G260,competency_model!$A$2:$A$25,0)),"")</f>
        <v>Test Evidence Review</v>
      </c>
      <c r="J260" s="16">
        <f>IFERROR(INDEX(competency_model!$F$2:$F$25,MATCH(G260,competency_model!$A$2:$A$25,0)),"")</f>
        <v>4</v>
      </c>
      <c r="K260" s="16" t="str">
        <f>IFERROR(INDEX(competency_model!$G$2:$G$25,MATCH(G260,competency_model!$A$2:$A$25,0)),"")</f>
        <v>High</v>
      </c>
      <c r="L260" s="21">
        <v>4</v>
      </c>
      <c r="M260" s="21">
        <f t="shared" si="24"/>
        <v>0</v>
      </c>
      <c r="N260" s="16" t="str">
        <f t="shared" si="25"/>
        <v>No Gap</v>
      </c>
      <c r="O260" s="21">
        <f t="shared" si="26"/>
        <v>3</v>
      </c>
      <c r="P260" s="21">
        <f t="shared" si="27"/>
        <v>0</v>
      </c>
      <c r="Q260" s="16" t="str">
        <f t="shared" si="28"/>
        <v>Ready</v>
      </c>
      <c r="R260" s="16" t="s">
        <v>228</v>
      </c>
      <c r="S260" s="23">
        <v>45751.489065555557</v>
      </c>
      <c r="T260" s="25">
        <f t="shared" ca="1" si="29"/>
        <v>450.51093444444268</v>
      </c>
      <c r="U260" s="16" t="s">
        <v>229</v>
      </c>
      <c r="V260" s="16" t="s">
        <v>231</v>
      </c>
      <c r="W260" s="6" t="str">
        <f ca="1">IF(R260="Missing","Missing evidence",IF(T260&gt;365,"Stale assessment",IF(COUNTIFS($B$2:$B$264,B260,$G$2:$G$264,G260)&gt;1,"Duplicate competency record",IF(INDEX(employees!$H$2:$H$37,MATCH(B260,employees!$A$2:$A$37,0))="Inactive","Inactive account","OK"))))</f>
        <v>Stale assessment</v>
      </c>
    </row>
    <row r="261" spans="1:23" ht="15" customHeight="1">
      <c r="A261" s="5" t="s">
        <v>490</v>
      </c>
      <c r="B261" s="16" t="s">
        <v>60</v>
      </c>
      <c r="C261" s="16" t="str">
        <f>IFERROR(INDEX(employees!$B$2:$B$37,MATCH(B261,employees!$A$2:$A$37,0)),"")</f>
        <v>Riley Chen</v>
      </c>
      <c r="D261" s="16" t="str">
        <f>IFERROR(INDEX(employees!$C$2:$C$37,MATCH(B261,employees!$A$2:$A$37,0)),"")</f>
        <v>Protection &amp; Control</v>
      </c>
      <c r="E261" s="16" t="str">
        <f>IFERROR(INDEX(employees!$D$2:$D$37,MATCH(B261,employees!$A$2:$A$37,0)),"")</f>
        <v>Engineering Management</v>
      </c>
      <c r="F261" s="16" t="str">
        <f>IFERROR(INDEX(employees!$E$2:$E$37,MATCH(B261,employees!$A$2:$A$37,0)),"")</f>
        <v>Engineer</v>
      </c>
      <c r="G261" s="16" t="s">
        <v>160</v>
      </c>
      <c r="H261" s="16" t="str">
        <f>IFERROR(INDEX(competency_model!$C$2:$C$25,MATCH(G261,competency_model!$A$2:$A$25,0)),"")</f>
        <v>PowerPoint Presentation</v>
      </c>
      <c r="I261" s="16" t="str">
        <f>IFERROR(INDEX(competency_model!$D$2:$D$25,MATCH(G261,competency_model!$A$2:$A$25,0)),"")</f>
        <v>Leadership Storytelling</v>
      </c>
      <c r="J261" s="16">
        <f>IFERROR(INDEX(competency_model!$F$2:$F$25,MATCH(G261,competency_model!$A$2:$A$25,0)),"")</f>
        <v>3</v>
      </c>
      <c r="K261" s="16" t="str">
        <f>IFERROR(INDEX(competency_model!$G$2:$G$25,MATCH(G261,competency_model!$A$2:$A$25,0)),"")</f>
        <v>Medium</v>
      </c>
      <c r="L261" s="21">
        <v>2</v>
      </c>
      <c r="M261" s="21">
        <f t="shared" si="24"/>
        <v>1</v>
      </c>
      <c r="N261" s="16" t="str">
        <f t="shared" si="25"/>
        <v>Minor</v>
      </c>
      <c r="O261" s="21">
        <f t="shared" si="26"/>
        <v>2</v>
      </c>
      <c r="P261" s="21">
        <f t="shared" si="27"/>
        <v>2</v>
      </c>
      <c r="Q261" s="16" t="str">
        <f t="shared" si="28"/>
        <v>Development Needed</v>
      </c>
      <c r="R261" s="16" t="s">
        <v>225</v>
      </c>
      <c r="S261" s="23">
        <v>46054.296807615741</v>
      </c>
      <c r="T261" s="25">
        <f t="shared" ca="1" si="29"/>
        <v>147.70319238425873</v>
      </c>
      <c r="U261" s="16" t="s">
        <v>229</v>
      </c>
      <c r="V261" s="16" t="s">
        <v>491</v>
      </c>
      <c r="W261" s="6" t="str">
        <f ca="1">IF(R261="Missing","Missing evidence",IF(T261&gt;365,"Stale assessment",IF(COUNTIFS($B$2:$B$264,B261,$G$2:$G$264,G261)&gt;1,"Duplicate competency record",IF(INDEX(employees!$H$2:$H$37,MATCH(B261,employees!$A$2:$A$37,0))="Inactive","Inactive account","OK"))))</f>
        <v>Duplicate competency record</v>
      </c>
    </row>
    <row r="262" spans="1:23" ht="15" customHeight="1">
      <c r="A262" s="5" t="s">
        <v>492</v>
      </c>
      <c r="B262" s="16" t="s">
        <v>104</v>
      </c>
      <c r="C262" s="16" t="str">
        <f>IFERROR(INDEX(employees!$B$2:$B$37,MATCH(B262,employees!$A$2:$A$37,0)),"")</f>
        <v>Cameron Nguyen</v>
      </c>
      <c r="D262" s="16" t="str">
        <f>IFERROR(INDEX(employees!$C$2:$C$37,MATCH(B262,employees!$A$2:$A$37,0)),"")</f>
        <v>Protection &amp; Control</v>
      </c>
      <c r="E262" s="16" t="str">
        <f>IFERROR(INDEX(employees!$D$2:$D$37,MATCH(B262,employees!$A$2:$A$37,0)),"")</f>
        <v>Testing &amp; Validation</v>
      </c>
      <c r="F262" s="16" t="str">
        <f>IFERROR(INDEX(employees!$E$2:$E$37,MATCH(B262,employees!$A$2:$A$37,0)),"")</f>
        <v>Senior Engineer</v>
      </c>
      <c r="G262" s="16" t="s">
        <v>171</v>
      </c>
      <c r="H262" s="16" t="str">
        <f>IFERROR(INDEX(competency_model!$C$2:$C$25,MATCH(G262,competency_model!$A$2:$A$25,0)),"")</f>
        <v>Testing &amp; Validation</v>
      </c>
      <c r="I262" s="16" t="str">
        <f>IFERROR(INDEX(competency_model!$D$2:$D$25,MATCH(G262,competency_model!$A$2:$A$25,0)),"")</f>
        <v>Test Evidence Review</v>
      </c>
      <c r="J262" s="16">
        <f>IFERROR(INDEX(competency_model!$F$2:$F$25,MATCH(G262,competency_model!$A$2:$A$25,0)),"")</f>
        <v>4</v>
      </c>
      <c r="K262" s="16" t="str">
        <f>IFERROR(INDEX(competency_model!$G$2:$G$25,MATCH(G262,competency_model!$A$2:$A$25,0)),"")</f>
        <v>High</v>
      </c>
      <c r="L262" s="21">
        <v>3</v>
      </c>
      <c r="M262" s="21">
        <f t="shared" si="24"/>
        <v>1</v>
      </c>
      <c r="N262" s="16" t="str">
        <f t="shared" si="25"/>
        <v>Minor</v>
      </c>
      <c r="O262" s="21">
        <f t="shared" si="26"/>
        <v>3</v>
      </c>
      <c r="P262" s="21">
        <f t="shared" si="27"/>
        <v>3</v>
      </c>
      <c r="Q262" s="16" t="str">
        <f t="shared" si="28"/>
        <v>Development Needed</v>
      </c>
      <c r="R262" s="16" t="s">
        <v>228</v>
      </c>
      <c r="S262" s="23">
        <v>46059.497406932867</v>
      </c>
      <c r="T262" s="25">
        <f t="shared" ca="1" si="29"/>
        <v>142.50259306713269</v>
      </c>
      <c r="U262" s="16" t="s">
        <v>223</v>
      </c>
      <c r="V262" s="16" t="s">
        <v>491</v>
      </c>
      <c r="W262" s="6" t="str">
        <f ca="1">IF(R262="Missing","Missing evidence",IF(T262&gt;365,"Stale assessment",IF(COUNTIFS($B$2:$B$264,B262,$G$2:$G$264,G262)&gt;1,"Duplicate competency record",IF(INDEX(employees!$H$2:$H$37,MATCH(B262,employees!$A$2:$A$37,0))="Inactive","Inactive account","OK"))))</f>
        <v>Duplicate competency record</v>
      </c>
    </row>
    <row r="263" spans="1:23" ht="15" customHeight="1">
      <c r="A263" s="5" t="s">
        <v>493</v>
      </c>
      <c r="B263" s="16" t="s">
        <v>116</v>
      </c>
      <c r="C263" s="16" t="str">
        <f>IFERROR(INDEX(employees!$B$2:$B$37,MATCH(B263,employees!$A$2:$A$37,0)),"")</f>
        <v>Casey Khan</v>
      </c>
      <c r="D263" s="16" t="str">
        <f>IFERROR(INDEX(employees!$C$2:$C$37,MATCH(B263,employees!$A$2:$A$37,0)),"")</f>
        <v>HVDC</v>
      </c>
      <c r="E263" s="16" t="str">
        <f>IFERROR(INDEX(employees!$D$2:$D$37,MATCH(B263,employees!$A$2:$A$37,0)),"")</f>
        <v>Software Engineering</v>
      </c>
      <c r="F263" s="16" t="str">
        <f>IFERROR(INDEX(employees!$E$2:$E$37,MATCH(B263,employees!$A$2:$A$37,0)),"")</f>
        <v>Graduate</v>
      </c>
      <c r="G263" s="16" t="s">
        <v>160</v>
      </c>
      <c r="H263" s="16" t="str">
        <f>IFERROR(INDEX(competency_model!$C$2:$C$25,MATCH(G263,competency_model!$A$2:$A$25,0)),"")</f>
        <v>PowerPoint Presentation</v>
      </c>
      <c r="I263" s="16" t="str">
        <f>IFERROR(INDEX(competency_model!$D$2:$D$25,MATCH(G263,competency_model!$A$2:$A$25,0)),"")</f>
        <v>Leadership Storytelling</v>
      </c>
      <c r="J263" s="16">
        <f>IFERROR(INDEX(competency_model!$F$2:$F$25,MATCH(G263,competency_model!$A$2:$A$25,0)),"")</f>
        <v>3</v>
      </c>
      <c r="K263" s="16" t="str">
        <f>IFERROR(INDEX(competency_model!$G$2:$G$25,MATCH(G263,competency_model!$A$2:$A$25,0)),"")</f>
        <v>Medium</v>
      </c>
      <c r="L263" s="21">
        <v>3</v>
      </c>
      <c r="M263" s="21">
        <f t="shared" si="24"/>
        <v>0</v>
      </c>
      <c r="N263" s="16" t="str">
        <f t="shared" si="25"/>
        <v>No Gap</v>
      </c>
      <c r="O263" s="21">
        <f t="shared" si="26"/>
        <v>2</v>
      </c>
      <c r="P263" s="21">
        <f t="shared" si="27"/>
        <v>0</v>
      </c>
      <c r="Q263" s="16" t="str">
        <f t="shared" si="28"/>
        <v>Ready</v>
      </c>
      <c r="R263" s="16" t="s">
        <v>228</v>
      </c>
      <c r="S263" s="23">
        <v>46113.047948518521</v>
      </c>
      <c r="T263" s="25">
        <f t="shared" ca="1" si="29"/>
        <v>88.95205148147943</v>
      </c>
      <c r="U263" s="16" t="s">
        <v>223</v>
      </c>
      <c r="V263" s="16" t="s">
        <v>491</v>
      </c>
      <c r="W263" s="6" t="str">
        <f ca="1">IF(R263="Missing","Missing evidence",IF(T263&gt;365,"Stale assessment",IF(COUNTIFS($B$2:$B$264,B263,$G$2:$G$264,G263)&gt;1,"Duplicate competency record",IF(INDEX(employees!$H$2:$H$37,MATCH(B263,employees!$A$2:$A$37,0))="Inactive","Inactive account","OK"))))</f>
        <v>Duplicate competency record</v>
      </c>
    </row>
    <row r="264" spans="1:23" ht="15" customHeight="1">
      <c r="A264" s="7" t="s">
        <v>494</v>
      </c>
      <c r="B264" s="17" t="s">
        <v>95</v>
      </c>
      <c r="C264" s="17" t="str">
        <f>IFERROR(INDEX(employees!$B$2:$B$37,MATCH(B264,employees!$A$2:$A$37,0)),"")</f>
        <v>Alex Taylor</v>
      </c>
      <c r="D264" s="17" t="str">
        <f>IFERROR(INDEX(employees!$C$2:$C$37,MATCH(B264,employees!$A$2:$A$37,0)),"")</f>
        <v>Chief Engineer Office</v>
      </c>
      <c r="E264" s="17" t="str">
        <f>IFERROR(INDEX(employees!$D$2:$D$37,MATCH(B264,employees!$A$2:$A$37,0)),"")</f>
        <v>Software Engineering</v>
      </c>
      <c r="F264" s="17" t="str">
        <f>IFERROR(INDEX(employees!$E$2:$E$37,MATCH(B264,employees!$A$2:$A$37,0)),"")</f>
        <v>Lead Engineer</v>
      </c>
      <c r="G264" s="17" t="s">
        <v>163</v>
      </c>
      <c r="H264" s="17" t="str">
        <f>IFERROR(INDEX(competency_model!$C$2:$C$25,MATCH(G264,competency_model!$A$2:$A$25,0)),"")</f>
        <v>Engineering Documentation</v>
      </c>
      <c r="I264" s="17" t="str">
        <f>IFERROR(INDEX(competency_model!$D$2:$D$25,MATCH(G264,competency_model!$A$2:$A$25,0)),"")</f>
        <v>Technical Documentation</v>
      </c>
      <c r="J264" s="17">
        <f>IFERROR(INDEX(competency_model!$F$2:$F$25,MATCH(G264,competency_model!$A$2:$A$25,0)),"")</f>
        <v>4</v>
      </c>
      <c r="K264" s="17" t="str">
        <f>IFERROR(INDEX(competency_model!$G$2:$G$25,MATCH(G264,competency_model!$A$2:$A$25,0)),"")</f>
        <v>High</v>
      </c>
      <c r="L264" s="22">
        <v>5</v>
      </c>
      <c r="M264" s="22">
        <f t="shared" si="24"/>
        <v>0</v>
      </c>
      <c r="N264" s="17" t="str">
        <f t="shared" si="25"/>
        <v>No Gap</v>
      </c>
      <c r="O264" s="22">
        <f t="shared" si="26"/>
        <v>3</v>
      </c>
      <c r="P264" s="22">
        <f t="shared" si="27"/>
        <v>0</v>
      </c>
      <c r="Q264" s="17" t="str">
        <f t="shared" si="28"/>
        <v>Ready</v>
      </c>
      <c r="R264" s="17" t="s">
        <v>222</v>
      </c>
      <c r="S264" s="24">
        <v>46167.846493969904</v>
      </c>
      <c r="T264" s="26">
        <f t="shared" ca="1" si="29"/>
        <v>34.153506030095741</v>
      </c>
      <c r="U264" s="17" t="s">
        <v>242</v>
      </c>
      <c r="V264" s="17" t="s">
        <v>491</v>
      </c>
      <c r="W264" s="8" t="str">
        <f>IF(R264="Missing","Missing evidence",IF(T264&gt;365,"Stale assessment",IF(COUNTIFS($B$2:$B$264,B264,$G$2:$G$264,G264)&gt;1,"Duplicate competency record",IF(INDEX(employees!$H$2:$H$37,MATCH(B264,employees!$A$2:$A$37,0))="Inactive","Inactive account","OK"))))</f>
        <v>Missing evidence</v>
      </c>
    </row>
  </sheetData>
  <dataValidations count="2">
    <dataValidation type="whole" sqref="L2:L264" xr:uid="{00000000-0002-0000-0400-000000000000}">
      <formula1>1</formula1>
      <formula2>5</formula2>
    </dataValidation>
    <dataValidation type="list" sqref="R2:R264" xr:uid="{00000000-0002-0000-0400-000001000000}">
      <formula1>"Verified,Partial,Missing"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9"/>
  <sheetViews>
    <sheetView showGridLines="0" topLeftCell="D1" workbookViewId="0"/>
  </sheetViews>
  <sheetFormatPr defaultRowHeight="13.5"/>
  <cols>
    <col min="1" max="1" width="16.25" customWidth="1"/>
    <col min="2" max="2" width="17.6875" customWidth="1"/>
    <col min="3" max="3" width="18.375" customWidth="1"/>
    <col min="4" max="4" width="27.125" customWidth="1"/>
    <col min="5" max="5" width="15.875" customWidth="1"/>
    <col min="6" max="6" width="17.875" customWidth="1"/>
    <col min="7" max="7" width="28.875" customWidth="1"/>
    <col min="8" max="8" width="11.875" customWidth="1"/>
    <col min="9" max="9" width="14.875" customWidth="1"/>
    <col min="10" max="10" width="10.375" customWidth="1"/>
    <col min="11" max="11" width="26.75" customWidth="1"/>
  </cols>
  <sheetData>
    <row r="1" spans="1:11" ht="15" customHeight="1">
      <c r="A1" s="9" t="s">
        <v>495</v>
      </c>
      <c r="B1" s="18" t="s">
        <v>37</v>
      </c>
      <c r="C1" s="18" t="s">
        <v>138</v>
      </c>
      <c r="D1" s="18" t="s">
        <v>141</v>
      </c>
      <c r="E1" s="18" t="s">
        <v>39</v>
      </c>
      <c r="F1" s="18" t="s">
        <v>496</v>
      </c>
      <c r="G1" s="18" t="s">
        <v>497</v>
      </c>
      <c r="H1" s="18" t="s">
        <v>498</v>
      </c>
      <c r="I1" s="18" t="s">
        <v>499</v>
      </c>
      <c r="J1" s="18" t="s">
        <v>500</v>
      </c>
      <c r="K1" s="10" t="s">
        <v>501</v>
      </c>
    </row>
    <row r="2" spans="1:11" ht="15" customHeight="1">
      <c r="A2" s="5" t="s">
        <v>502</v>
      </c>
      <c r="B2" s="16" t="s">
        <v>46</v>
      </c>
      <c r="C2" s="16" t="s">
        <v>169</v>
      </c>
      <c r="D2" s="16" t="str">
        <f>IFERROR(INDEX(competency_model!$D$2:$D$25,MATCH(C2,competency_model!$A$2:$A$25,0)),"")</f>
        <v>HVDC System Concepts</v>
      </c>
      <c r="E2" s="16" t="str">
        <f>IFERROR(INDEX(employees!$C$2:$C$37,MATCH(B2,employees!$A$2:$A$37,0)),"")</f>
        <v>Asset Management</v>
      </c>
      <c r="F2" s="16" t="s">
        <v>503</v>
      </c>
      <c r="G2" s="16" t="s">
        <v>504</v>
      </c>
      <c r="H2" s="16" t="s">
        <v>505</v>
      </c>
      <c r="I2" s="16" t="s">
        <v>506</v>
      </c>
      <c r="J2" s="23">
        <v>46310.06270628472</v>
      </c>
      <c r="K2" s="6" t="s">
        <v>507</v>
      </c>
    </row>
    <row r="3" spans="1:11" ht="15" customHeight="1">
      <c r="A3" s="5" t="s">
        <v>508</v>
      </c>
      <c r="B3" s="16" t="s">
        <v>46</v>
      </c>
      <c r="C3" s="16" t="s">
        <v>197</v>
      </c>
      <c r="D3" s="16" t="str">
        <f>IFERROR(INDEX(competency_model!$D$2:$D$25,MATCH(C3,competency_model!$A$2:$A$25,0)),"")</f>
        <v>Competency Tool User Support</v>
      </c>
      <c r="E3" s="16" t="str">
        <f>IFERROR(INDEX(employees!$C$2:$C$37,MATCH(B3,employees!$A$2:$A$37,0)),"")</f>
        <v>Asset Management</v>
      </c>
      <c r="F3" s="16" t="s">
        <v>503</v>
      </c>
      <c r="G3" s="16" t="s">
        <v>509</v>
      </c>
      <c r="H3" s="16" t="s">
        <v>505</v>
      </c>
      <c r="I3" s="16" t="s">
        <v>510</v>
      </c>
      <c r="J3" s="23">
        <v>46263.728968333337</v>
      </c>
      <c r="K3" s="6" t="s">
        <v>507</v>
      </c>
    </row>
    <row r="4" spans="1:11" ht="15" customHeight="1">
      <c r="A4" s="5" t="s">
        <v>511</v>
      </c>
      <c r="B4" s="16" t="s">
        <v>46</v>
      </c>
      <c r="C4" s="16" t="s">
        <v>178</v>
      </c>
      <c r="D4" s="16" t="str">
        <f>IFERROR(INDEX(competency_model!$D$2:$D$25,MATCH(C4,competency_model!$A$2:$A$25,0)),"")</f>
        <v>Non-Technical Explanation</v>
      </c>
      <c r="E4" s="16" t="str">
        <f>IFERROR(INDEX(employees!$C$2:$C$37,MATCH(B4,employees!$A$2:$A$37,0)),"")</f>
        <v>Asset Management</v>
      </c>
      <c r="F4" s="16" t="s">
        <v>503</v>
      </c>
      <c r="G4" s="16" t="s">
        <v>504</v>
      </c>
      <c r="H4" s="16" t="s">
        <v>505</v>
      </c>
      <c r="I4" s="16" t="s">
        <v>506</v>
      </c>
      <c r="J4" s="23">
        <v>46277.221507881943</v>
      </c>
      <c r="K4" s="6" t="s">
        <v>512</v>
      </c>
    </row>
    <row r="5" spans="1:11" ht="15" customHeight="1">
      <c r="A5" s="5" t="s">
        <v>513</v>
      </c>
      <c r="B5" s="16" t="s">
        <v>46</v>
      </c>
      <c r="C5" s="16" t="s">
        <v>154</v>
      </c>
      <c r="D5" s="16" t="str">
        <f>IFERROR(INDEX(competency_model!$D$2:$D$25,MATCH(C5,competency_model!$A$2:$A$25,0)),"")</f>
        <v>PivotTables and Power Query</v>
      </c>
      <c r="E5" s="16" t="str">
        <f>IFERROR(INDEX(employees!$C$2:$C$37,MATCH(B5,employees!$A$2:$A$37,0)),"")</f>
        <v>Asset Management</v>
      </c>
      <c r="F5" s="16" t="s">
        <v>503</v>
      </c>
      <c r="G5" s="16" t="s">
        <v>514</v>
      </c>
      <c r="H5" s="16" t="s">
        <v>515</v>
      </c>
      <c r="I5" s="16" t="s">
        <v>516</v>
      </c>
      <c r="J5" s="23">
        <v>46322.306015381946</v>
      </c>
      <c r="K5" s="6" t="s">
        <v>517</v>
      </c>
    </row>
    <row r="6" spans="1:11" ht="15" customHeight="1">
      <c r="A6" s="5" t="s">
        <v>518</v>
      </c>
      <c r="B6" s="16" t="s">
        <v>46</v>
      </c>
      <c r="C6" s="16" t="s">
        <v>160</v>
      </c>
      <c r="D6" s="16" t="str">
        <f>IFERROR(INDEX(competency_model!$D$2:$D$25,MATCH(C6,competency_model!$A$2:$A$25,0)),"")</f>
        <v>Leadership Storytelling</v>
      </c>
      <c r="E6" s="16" t="str">
        <f>IFERROR(INDEX(employees!$C$2:$C$37,MATCH(B6,employees!$A$2:$A$37,0)),"")</f>
        <v>Asset Management</v>
      </c>
      <c r="F6" s="16" t="s">
        <v>503</v>
      </c>
      <c r="G6" s="16" t="s">
        <v>504</v>
      </c>
      <c r="H6" s="16" t="s">
        <v>505</v>
      </c>
      <c r="I6" s="16" t="s">
        <v>510</v>
      </c>
      <c r="J6" s="23">
        <v>46299.50691974537</v>
      </c>
      <c r="K6" s="6" t="s">
        <v>519</v>
      </c>
    </row>
    <row r="7" spans="1:11" ht="15" customHeight="1">
      <c r="A7" s="5" t="s">
        <v>520</v>
      </c>
      <c r="B7" s="16" t="s">
        <v>46</v>
      </c>
      <c r="C7" s="16" t="s">
        <v>206</v>
      </c>
      <c r="D7" s="16" t="str">
        <f>IFERROR(INDEX(competency_model!$D$2:$D$25,MATCH(C7,competency_model!$A$2:$A$25,0)),"")</f>
        <v>Engineering Performance Indicators</v>
      </c>
      <c r="E7" s="16" t="str">
        <f>IFERROR(INDEX(employees!$C$2:$C$37,MATCH(B7,employees!$A$2:$A$37,0)),"")</f>
        <v>Asset Management</v>
      </c>
      <c r="F7" s="16" t="s">
        <v>503</v>
      </c>
      <c r="G7" s="16" t="s">
        <v>521</v>
      </c>
      <c r="H7" s="16" t="s">
        <v>522</v>
      </c>
      <c r="I7" s="16" t="s">
        <v>523</v>
      </c>
      <c r="J7" s="23">
        <v>46257.473704444441</v>
      </c>
      <c r="K7" s="6" t="s">
        <v>517</v>
      </c>
    </row>
    <row r="8" spans="1:11" ht="15" customHeight="1">
      <c r="A8" s="5" t="s">
        <v>524</v>
      </c>
      <c r="B8" s="16" t="s">
        <v>46</v>
      </c>
      <c r="C8" s="16" t="s">
        <v>181</v>
      </c>
      <c r="D8" s="16" t="str">
        <f>IFERROR(INDEX(competency_model!$D$2:$D$25,MATCH(C8,competency_model!$A$2:$A$25,0)),"")</f>
        <v>Cross-Functional Updates</v>
      </c>
      <c r="E8" s="16" t="str">
        <f>IFERROR(INDEX(employees!$C$2:$C$37,MATCH(B8,employees!$A$2:$A$37,0)),"")</f>
        <v>Asset Management</v>
      </c>
      <c r="F8" s="16" t="s">
        <v>503</v>
      </c>
      <c r="G8" s="16" t="s">
        <v>509</v>
      </c>
      <c r="H8" s="16" t="s">
        <v>505</v>
      </c>
      <c r="I8" s="16" t="s">
        <v>523</v>
      </c>
      <c r="J8" s="23">
        <v>46261.53707244213</v>
      </c>
      <c r="K8" s="6" t="s">
        <v>507</v>
      </c>
    </row>
    <row r="9" spans="1:11" ht="15" customHeight="1">
      <c r="A9" s="5" t="s">
        <v>525</v>
      </c>
      <c r="B9" s="16" t="s">
        <v>46</v>
      </c>
      <c r="C9" s="16" t="s">
        <v>163</v>
      </c>
      <c r="D9" s="16" t="str">
        <f>IFERROR(INDEX(competency_model!$D$2:$D$25,MATCH(C9,competency_model!$A$2:$A$25,0)),"")</f>
        <v>Technical Documentation</v>
      </c>
      <c r="E9" s="16" t="str">
        <f>IFERROR(INDEX(employees!$C$2:$C$37,MATCH(B9,employees!$A$2:$A$37,0)),"")</f>
        <v>Asset Management</v>
      </c>
      <c r="F9" s="16" t="s">
        <v>503</v>
      </c>
      <c r="G9" s="16" t="s">
        <v>509</v>
      </c>
      <c r="H9" s="16" t="s">
        <v>505</v>
      </c>
      <c r="I9" s="16" t="s">
        <v>510</v>
      </c>
      <c r="J9" s="23">
        <v>46262.887855775465</v>
      </c>
      <c r="K9" s="6" t="s">
        <v>519</v>
      </c>
    </row>
    <row r="10" spans="1:11" ht="15" customHeight="1">
      <c r="A10" s="5" t="s">
        <v>526</v>
      </c>
      <c r="B10" s="16" t="s">
        <v>53</v>
      </c>
      <c r="C10" s="16" t="s">
        <v>197</v>
      </c>
      <c r="D10" s="16" t="str">
        <f>IFERROR(INDEX(competency_model!$D$2:$D$25,MATCH(C10,competency_model!$A$2:$A$25,0)),"")</f>
        <v>Competency Tool User Support</v>
      </c>
      <c r="E10" s="16" t="str">
        <f>IFERROR(INDEX(employees!$C$2:$C$37,MATCH(B10,employees!$A$2:$A$37,0)),"")</f>
        <v>Systems Engineering</v>
      </c>
      <c r="F10" s="16" t="s">
        <v>503</v>
      </c>
      <c r="G10" s="16" t="s">
        <v>514</v>
      </c>
      <c r="H10" s="16" t="s">
        <v>515</v>
      </c>
      <c r="I10" s="16" t="s">
        <v>523</v>
      </c>
      <c r="J10" s="23">
        <v>46304.58327855324</v>
      </c>
      <c r="K10" s="6" t="s">
        <v>519</v>
      </c>
    </row>
    <row r="11" spans="1:11" ht="15" customHeight="1">
      <c r="A11" s="5" t="s">
        <v>527</v>
      </c>
      <c r="B11" s="16" t="s">
        <v>53</v>
      </c>
      <c r="C11" s="16" t="s">
        <v>149</v>
      </c>
      <c r="D11" s="16" t="str">
        <f>IFERROR(INDEX(competency_model!$D$2:$D$25,MATCH(C11,competency_model!$A$2:$A$25,0)),"")</f>
        <v>Python Data Cleaning</v>
      </c>
      <c r="E11" s="16" t="str">
        <f>IFERROR(INDEX(employees!$C$2:$C$37,MATCH(B11,employees!$A$2:$A$37,0)),"")</f>
        <v>Systems Engineering</v>
      </c>
      <c r="F11" s="16" t="s">
        <v>503</v>
      </c>
      <c r="G11" s="16" t="s">
        <v>514</v>
      </c>
      <c r="H11" s="16" t="s">
        <v>505</v>
      </c>
      <c r="I11" s="16" t="s">
        <v>523</v>
      </c>
      <c r="J11" s="23">
        <v>46319.323265266205</v>
      </c>
      <c r="K11" s="6" t="s">
        <v>517</v>
      </c>
    </row>
    <row r="12" spans="1:11" ht="15" customHeight="1">
      <c r="A12" s="5" t="s">
        <v>528</v>
      </c>
      <c r="B12" s="16" t="s">
        <v>53</v>
      </c>
      <c r="C12" s="16" t="s">
        <v>189</v>
      </c>
      <c r="D12" s="16" t="str">
        <f>IFERROR(INDEX(competency_model!$D$2:$D$25,MATCH(C12,competency_model!$A$2:$A$25,0)),"")</f>
        <v>Duplicate and Missing Value Checks</v>
      </c>
      <c r="E12" s="16" t="str">
        <f>IFERROR(INDEX(employees!$C$2:$C$37,MATCH(B12,employees!$A$2:$A$37,0)),"")</f>
        <v>Systems Engineering</v>
      </c>
      <c r="F12" s="16" t="s">
        <v>503</v>
      </c>
      <c r="G12" s="16" t="s">
        <v>521</v>
      </c>
      <c r="H12" s="16" t="s">
        <v>505</v>
      </c>
      <c r="I12" s="16" t="s">
        <v>506</v>
      </c>
      <c r="J12" s="23">
        <v>46324.674944513892</v>
      </c>
      <c r="K12" s="6" t="s">
        <v>512</v>
      </c>
    </row>
    <row r="13" spans="1:11" ht="15" customHeight="1">
      <c r="A13" s="5" t="s">
        <v>529</v>
      </c>
      <c r="B13" s="16" t="s">
        <v>53</v>
      </c>
      <c r="C13" s="16" t="s">
        <v>151</v>
      </c>
      <c r="D13" s="16" t="str">
        <f>IFERROR(INDEX(competency_model!$D$2:$D$25,MATCH(C13,competency_model!$A$2:$A$25,0)),"")</f>
        <v>SQL Querying</v>
      </c>
      <c r="E13" s="16" t="str">
        <f>IFERROR(INDEX(employees!$C$2:$C$37,MATCH(B13,employees!$A$2:$A$37,0)),"")</f>
        <v>Systems Engineering</v>
      </c>
      <c r="F13" s="16" t="s">
        <v>503</v>
      </c>
      <c r="G13" s="16" t="s">
        <v>504</v>
      </c>
      <c r="H13" s="16" t="s">
        <v>505</v>
      </c>
      <c r="I13" s="16" t="s">
        <v>510</v>
      </c>
      <c r="J13" s="23">
        <v>46284.539877233794</v>
      </c>
      <c r="K13" s="6" t="s">
        <v>517</v>
      </c>
    </row>
    <row r="14" spans="1:11" ht="15" customHeight="1">
      <c r="A14" s="5" t="s">
        <v>530</v>
      </c>
      <c r="B14" s="16" t="s">
        <v>53</v>
      </c>
      <c r="C14" s="16" t="s">
        <v>160</v>
      </c>
      <c r="D14" s="16" t="str">
        <f>IFERROR(INDEX(competency_model!$D$2:$D$25,MATCH(C14,competency_model!$A$2:$A$25,0)),"")</f>
        <v>Leadership Storytelling</v>
      </c>
      <c r="E14" s="16" t="str">
        <f>IFERROR(INDEX(employees!$C$2:$C$37,MATCH(B14,employees!$A$2:$A$37,0)),"")</f>
        <v>Systems Engineering</v>
      </c>
      <c r="F14" s="16" t="s">
        <v>503</v>
      </c>
      <c r="G14" s="16" t="s">
        <v>514</v>
      </c>
      <c r="H14" s="16" t="s">
        <v>505</v>
      </c>
      <c r="I14" s="16" t="s">
        <v>510</v>
      </c>
      <c r="J14" s="23">
        <v>46318.325515115743</v>
      </c>
      <c r="K14" s="6" t="s">
        <v>512</v>
      </c>
    </row>
    <row r="15" spans="1:11" ht="15" customHeight="1">
      <c r="A15" s="5" t="s">
        <v>531</v>
      </c>
      <c r="B15" s="16" t="s">
        <v>53</v>
      </c>
      <c r="C15" s="16" t="s">
        <v>202</v>
      </c>
      <c r="D15" s="16" t="str">
        <f>IFERROR(INDEX(competency_model!$D$2:$D$25,MATCH(C15,competency_model!$A$2:$A$25,0)),"")</f>
        <v>Dashboard Filtering and Actions</v>
      </c>
      <c r="E15" s="16" t="str">
        <f>IFERROR(INDEX(employees!$C$2:$C$37,MATCH(B15,employees!$A$2:$A$37,0)),"")</f>
        <v>Systems Engineering</v>
      </c>
      <c r="F15" s="16" t="s">
        <v>503</v>
      </c>
      <c r="G15" s="16" t="s">
        <v>509</v>
      </c>
      <c r="H15" s="16" t="s">
        <v>522</v>
      </c>
      <c r="I15" s="16" t="s">
        <v>506</v>
      </c>
      <c r="J15" s="23">
        <v>46285.779999710649</v>
      </c>
      <c r="K15" s="6" t="s">
        <v>519</v>
      </c>
    </row>
    <row r="16" spans="1:11" ht="15" customHeight="1">
      <c r="A16" s="5" t="s">
        <v>532</v>
      </c>
      <c r="B16" s="16" t="s">
        <v>53</v>
      </c>
      <c r="C16" s="16" t="s">
        <v>157</v>
      </c>
      <c r="D16" s="16" t="str">
        <f>IFERROR(INDEX(competency_model!$D$2:$D$25,MATCH(C16,competency_model!$A$2:$A$25,0)),"")</f>
        <v>Tableau Dashboard Building</v>
      </c>
      <c r="E16" s="16" t="str">
        <f>IFERROR(INDEX(employees!$C$2:$C$37,MATCH(B16,employees!$A$2:$A$37,0)),"")</f>
        <v>Systems Engineering</v>
      </c>
      <c r="F16" s="16" t="s">
        <v>503</v>
      </c>
      <c r="G16" s="16" t="s">
        <v>509</v>
      </c>
      <c r="H16" s="16" t="s">
        <v>505</v>
      </c>
      <c r="I16" s="16" t="s">
        <v>510</v>
      </c>
      <c r="J16" s="23">
        <v>46283.320368692126</v>
      </c>
      <c r="K16" s="6" t="s">
        <v>507</v>
      </c>
    </row>
    <row r="17" spans="1:11" ht="15" customHeight="1">
      <c r="A17" s="5" t="s">
        <v>533</v>
      </c>
      <c r="B17" s="16" t="s">
        <v>53</v>
      </c>
      <c r="C17" s="16" t="s">
        <v>144</v>
      </c>
      <c r="D17" s="16" t="str">
        <f>IFERROR(INDEX(competency_model!$D$2:$D$25,MATCH(C17,competency_model!$A$2:$A$25,0)),"")</f>
        <v>Excel Data Cleaning</v>
      </c>
      <c r="E17" s="16" t="str">
        <f>IFERROR(INDEX(employees!$C$2:$C$37,MATCH(B17,employees!$A$2:$A$37,0)),"")</f>
        <v>Systems Engineering</v>
      </c>
      <c r="F17" s="16" t="s">
        <v>503</v>
      </c>
      <c r="G17" s="16" t="s">
        <v>514</v>
      </c>
      <c r="H17" s="16" t="s">
        <v>505</v>
      </c>
      <c r="I17" s="16" t="s">
        <v>510</v>
      </c>
      <c r="J17" s="23">
        <v>46249.901933252317</v>
      </c>
      <c r="K17" s="6" t="s">
        <v>507</v>
      </c>
    </row>
    <row r="18" spans="1:11" ht="15" customHeight="1">
      <c r="A18" s="5" t="s">
        <v>534</v>
      </c>
      <c r="B18" s="16" t="s">
        <v>58</v>
      </c>
      <c r="C18" s="16" t="s">
        <v>181</v>
      </c>
      <c r="D18" s="16" t="str">
        <f>IFERROR(INDEX(competency_model!$D$2:$D$25,MATCH(C18,competency_model!$A$2:$A$25,0)),"")</f>
        <v>Cross-Functional Updates</v>
      </c>
      <c r="E18" s="16" t="str">
        <f>IFERROR(INDEX(employees!$C$2:$C$37,MATCH(B18,employees!$A$2:$A$37,0)),"")</f>
        <v>Asset Management</v>
      </c>
      <c r="F18" s="16" t="s">
        <v>503</v>
      </c>
      <c r="G18" s="16" t="s">
        <v>535</v>
      </c>
      <c r="H18" s="16" t="s">
        <v>515</v>
      </c>
      <c r="I18" s="16" t="s">
        <v>516</v>
      </c>
      <c r="J18" s="23">
        <v>46221.066174722226</v>
      </c>
      <c r="K18" s="6" t="s">
        <v>519</v>
      </c>
    </row>
    <row r="19" spans="1:11" ht="15" customHeight="1">
      <c r="A19" s="5" t="s">
        <v>536</v>
      </c>
      <c r="B19" s="16" t="s">
        <v>58</v>
      </c>
      <c r="C19" s="16" t="s">
        <v>206</v>
      </c>
      <c r="D19" s="16" t="str">
        <f>IFERROR(INDEX(competency_model!$D$2:$D$25,MATCH(C19,competency_model!$A$2:$A$25,0)),"")</f>
        <v>Engineering Performance Indicators</v>
      </c>
      <c r="E19" s="16" t="str">
        <f>IFERROR(INDEX(employees!$C$2:$C$37,MATCH(B19,employees!$A$2:$A$37,0)),"")</f>
        <v>Asset Management</v>
      </c>
      <c r="F19" s="16" t="s">
        <v>503</v>
      </c>
      <c r="G19" s="16" t="s">
        <v>537</v>
      </c>
      <c r="H19" s="16" t="s">
        <v>522</v>
      </c>
      <c r="I19" s="16" t="s">
        <v>516</v>
      </c>
      <c r="J19" s="23">
        <v>46282.604603229163</v>
      </c>
      <c r="K19" s="6" t="s">
        <v>517</v>
      </c>
    </row>
    <row r="20" spans="1:11" ht="15" customHeight="1">
      <c r="A20" s="5" t="s">
        <v>538</v>
      </c>
      <c r="B20" s="16" t="s">
        <v>58</v>
      </c>
      <c r="C20" s="16" t="s">
        <v>197</v>
      </c>
      <c r="D20" s="16" t="str">
        <f>IFERROR(INDEX(competency_model!$D$2:$D$25,MATCH(C20,competency_model!$A$2:$A$25,0)),"")</f>
        <v>Competency Tool User Support</v>
      </c>
      <c r="E20" s="16" t="str">
        <f>IFERROR(INDEX(employees!$C$2:$C$37,MATCH(B20,employees!$A$2:$A$37,0)),"")</f>
        <v>Asset Management</v>
      </c>
      <c r="F20" s="16" t="s">
        <v>503</v>
      </c>
      <c r="G20" s="16" t="s">
        <v>509</v>
      </c>
      <c r="H20" s="16" t="s">
        <v>505</v>
      </c>
      <c r="I20" s="16" t="s">
        <v>506</v>
      </c>
      <c r="J20" s="23">
        <v>46240.778569363429</v>
      </c>
      <c r="K20" s="6" t="s">
        <v>517</v>
      </c>
    </row>
    <row r="21" spans="1:11" ht="15" customHeight="1">
      <c r="A21" s="5" t="s">
        <v>539</v>
      </c>
      <c r="B21" s="16" t="s">
        <v>58</v>
      </c>
      <c r="C21" s="16" t="s">
        <v>178</v>
      </c>
      <c r="D21" s="16" t="str">
        <f>IFERROR(INDEX(competency_model!$D$2:$D$25,MATCH(C21,competency_model!$A$2:$A$25,0)),"")</f>
        <v>Non-Technical Explanation</v>
      </c>
      <c r="E21" s="16" t="str">
        <f>IFERROR(INDEX(employees!$C$2:$C$37,MATCH(B21,employees!$A$2:$A$37,0)),"")</f>
        <v>Asset Management</v>
      </c>
      <c r="F21" s="16" t="s">
        <v>503</v>
      </c>
      <c r="G21" s="16" t="s">
        <v>537</v>
      </c>
      <c r="H21" s="16" t="s">
        <v>515</v>
      </c>
      <c r="I21" s="16" t="s">
        <v>523</v>
      </c>
      <c r="J21" s="23">
        <v>46221.490754120372</v>
      </c>
      <c r="K21" s="6" t="s">
        <v>517</v>
      </c>
    </row>
    <row r="22" spans="1:11" ht="15" customHeight="1">
      <c r="A22" s="5" t="s">
        <v>540</v>
      </c>
      <c r="B22" s="16" t="s">
        <v>58</v>
      </c>
      <c r="C22" s="16" t="s">
        <v>160</v>
      </c>
      <c r="D22" s="16" t="str">
        <f>IFERROR(INDEX(competency_model!$D$2:$D$25,MATCH(C22,competency_model!$A$2:$A$25,0)),"")</f>
        <v>Leadership Storytelling</v>
      </c>
      <c r="E22" s="16" t="str">
        <f>IFERROR(INDEX(employees!$C$2:$C$37,MATCH(B22,employees!$A$2:$A$37,0)),"")</f>
        <v>Asset Management</v>
      </c>
      <c r="F22" s="16" t="s">
        <v>503</v>
      </c>
      <c r="G22" s="16" t="s">
        <v>509</v>
      </c>
      <c r="H22" s="16" t="s">
        <v>505</v>
      </c>
      <c r="I22" s="16" t="s">
        <v>510</v>
      </c>
      <c r="J22" s="23">
        <v>46298.031097939813</v>
      </c>
      <c r="K22" s="6" t="s">
        <v>512</v>
      </c>
    </row>
    <row r="23" spans="1:11" ht="15" customHeight="1">
      <c r="A23" s="5" t="s">
        <v>541</v>
      </c>
      <c r="B23" s="16" t="s">
        <v>60</v>
      </c>
      <c r="C23" s="16" t="s">
        <v>197</v>
      </c>
      <c r="D23" s="16" t="str">
        <f>IFERROR(INDEX(competency_model!$D$2:$D$25,MATCH(C23,competency_model!$A$2:$A$25,0)),"")</f>
        <v>Competency Tool User Support</v>
      </c>
      <c r="E23" s="16" t="str">
        <f>IFERROR(INDEX(employees!$C$2:$C$37,MATCH(B23,employees!$A$2:$A$37,0)),"")</f>
        <v>Protection &amp; Control</v>
      </c>
      <c r="F23" s="16" t="s">
        <v>503</v>
      </c>
      <c r="G23" s="16" t="s">
        <v>509</v>
      </c>
      <c r="H23" s="16" t="s">
        <v>515</v>
      </c>
      <c r="I23" s="16" t="s">
        <v>523</v>
      </c>
      <c r="J23" s="23">
        <v>46274.602983078701</v>
      </c>
      <c r="K23" s="6" t="s">
        <v>517</v>
      </c>
    </row>
    <row r="24" spans="1:11" ht="15" customHeight="1">
      <c r="A24" s="5" t="s">
        <v>542</v>
      </c>
      <c r="B24" s="16" t="s">
        <v>60</v>
      </c>
      <c r="C24" s="16" t="s">
        <v>178</v>
      </c>
      <c r="D24" s="16" t="str">
        <f>IFERROR(INDEX(competency_model!$D$2:$D$25,MATCH(C24,competency_model!$A$2:$A$25,0)),"")</f>
        <v>Non-Technical Explanation</v>
      </c>
      <c r="E24" s="16" t="str">
        <f>IFERROR(INDEX(employees!$C$2:$C$37,MATCH(B24,employees!$A$2:$A$37,0)),"")</f>
        <v>Protection &amp; Control</v>
      </c>
      <c r="F24" s="16" t="s">
        <v>503</v>
      </c>
      <c r="G24" s="16" t="s">
        <v>504</v>
      </c>
      <c r="H24" s="16" t="s">
        <v>505</v>
      </c>
      <c r="I24" s="16" t="s">
        <v>523</v>
      </c>
      <c r="J24" s="23">
        <v>46256.653217615742</v>
      </c>
      <c r="K24" s="6" t="s">
        <v>512</v>
      </c>
    </row>
    <row r="25" spans="1:11" ht="15" customHeight="1">
      <c r="A25" s="5" t="s">
        <v>543</v>
      </c>
      <c r="B25" s="16" t="s">
        <v>60</v>
      </c>
      <c r="C25" s="16" t="s">
        <v>181</v>
      </c>
      <c r="D25" s="16" t="str">
        <f>IFERROR(INDEX(competency_model!$D$2:$D$25,MATCH(C25,competency_model!$A$2:$A$25,0)),"")</f>
        <v>Cross-Functional Updates</v>
      </c>
      <c r="E25" s="16" t="str">
        <f>IFERROR(INDEX(employees!$C$2:$C$37,MATCH(B25,employees!$A$2:$A$37,0)),"")</f>
        <v>Protection &amp; Control</v>
      </c>
      <c r="F25" s="16" t="s">
        <v>503</v>
      </c>
      <c r="G25" s="16" t="s">
        <v>514</v>
      </c>
      <c r="H25" s="16" t="s">
        <v>515</v>
      </c>
      <c r="I25" s="16" t="s">
        <v>523</v>
      </c>
      <c r="J25" s="23">
        <v>46319.297359097225</v>
      </c>
      <c r="K25" s="6" t="s">
        <v>507</v>
      </c>
    </row>
    <row r="26" spans="1:11" ht="15" customHeight="1">
      <c r="A26" s="5" t="s">
        <v>544</v>
      </c>
      <c r="B26" s="16" t="s">
        <v>60</v>
      </c>
      <c r="C26" s="16" t="s">
        <v>163</v>
      </c>
      <c r="D26" s="16" t="str">
        <f>IFERROR(INDEX(competency_model!$D$2:$D$25,MATCH(C26,competency_model!$A$2:$A$25,0)),"")</f>
        <v>Technical Documentation</v>
      </c>
      <c r="E26" s="16" t="str">
        <f>IFERROR(INDEX(employees!$C$2:$C$37,MATCH(B26,employees!$A$2:$A$37,0)),"")</f>
        <v>Protection &amp; Control</v>
      </c>
      <c r="F26" s="16" t="s">
        <v>503</v>
      </c>
      <c r="G26" s="16" t="s">
        <v>504</v>
      </c>
      <c r="H26" s="16" t="s">
        <v>505</v>
      </c>
      <c r="I26" s="16" t="s">
        <v>506</v>
      </c>
      <c r="J26" s="23">
        <v>46267.398746793981</v>
      </c>
      <c r="K26" s="6" t="s">
        <v>519</v>
      </c>
    </row>
    <row r="27" spans="1:11" ht="15" customHeight="1">
      <c r="A27" s="5" t="s">
        <v>545</v>
      </c>
      <c r="B27" s="16" t="s">
        <v>60</v>
      </c>
      <c r="C27" s="16" t="s">
        <v>160</v>
      </c>
      <c r="D27" s="16" t="str">
        <f>IFERROR(INDEX(competency_model!$D$2:$D$25,MATCH(C27,competency_model!$A$2:$A$25,0)),"")</f>
        <v>Leadership Storytelling</v>
      </c>
      <c r="E27" s="16" t="str">
        <f>IFERROR(INDEX(employees!$C$2:$C$37,MATCH(B27,employees!$A$2:$A$37,0)),"")</f>
        <v>Protection &amp; Control</v>
      </c>
      <c r="F27" s="16" t="s">
        <v>503</v>
      </c>
      <c r="G27" s="16" t="s">
        <v>537</v>
      </c>
      <c r="H27" s="16" t="s">
        <v>505</v>
      </c>
      <c r="I27" s="16" t="s">
        <v>523</v>
      </c>
      <c r="J27" s="23">
        <v>46300.643592291664</v>
      </c>
      <c r="K27" s="6" t="s">
        <v>507</v>
      </c>
    </row>
    <row r="28" spans="1:11" ht="15" customHeight="1">
      <c r="A28" s="5" t="s">
        <v>546</v>
      </c>
      <c r="B28" s="16" t="s">
        <v>60</v>
      </c>
      <c r="C28" s="16" t="s">
        <v>204</v>
      </c>
      <c r="D28" s="16" t="str">
        <f>IFERROR(INDEX(competency_model!$D$2:$D$25,MATCH(C28,competency_model!$A$2:$A$25,0)),"")</f>
        <v>Executive Summary Slides</v>
      </c>
      <c r="E28" s="16" t="str">
        <f>IFERROR(INDEX(employees!$C$2:$C$37,MATCH(B28,employees!$A$2:$A$37,0)),"")</f>
        <v>Protection &amp; Control</v>
      </c>
      <c r="F28" s="16" t="s">
        <v>503</v>
      </c>
      <c r="G28" s="16" t="s">
        <v>504</v>
      </c>
      <c r="H28" s="16" t="s">
        <v>515</v>
      </c>
      <c r="I28" s="16" t="s">
        <v>516</v>
      </c>
      <c r="J28" s="23">
        <v>46238.958491724537</v>
      </c>
      <c r="K28" s="6" t="s">
        <v>512</v>
      </c>
    </row>
    <row r="29" spans="1:11" ht="15" customHeight="1">
      <c r="A29" s="5" t="s">
        <v>547</v>
      </c>
      <c r="B29" s="16" t="s">
        <v>60</v>
      </c>
      <c r="C29" s="16" t="s">
        <v>194</v>
      </c>
      <c r="D29" s="16" t="str">
        <f>IFERROR(INDEX(competency_model!$D$2:$D$25,MATCH(C29,competency_model!$A$2:$A$25,0)),"")</f>
        <v>Competency Model Maintenance</v>
      </c>
      <c r="E29" s="16" t="str">
        <f>IFERROR(INDEX(employees!$C$2:$C$37,MATCH(B29,employees!$A$2:$A$37,0)),"")</f>
        <v>Protection &amp; Control</v>
      </c>
      <c r="F29" s="16" t="s">
        <v>503</v>
      </c>
      <c r="G29" s="16" t="s">
        <v>537</v>
      </c>
      <c r="H29" s="16" t="s">
        <v>522</v>
      </c>
      <c r="I29" s="16" t="s">
        <v>506</v>
      </c>
      <c r="J29" s="23">
        <v>46312.708687233797</v>
      </c>
      <c r="K29" s="6" t="s">
        <v>519</v>
      </c>
    </row>
    <row r="30" spans="1:11" ht="15" customHeight="1">
      <c r="A30" s="5" t="s">
        <v>548</v>
      </c>
      <c r="B30" s="16" t="s">
        <v>64</v>
      </c>
      <c r="C30" s="16" t="s">
        <v>175</v>
      </c>
      <c r="D30" s="16" t="str">
        <f>IFERROR(INDEX(competency_model!$D$2:$D$25,MATCH(C30,competency_model!$A$2:$A$25,0)),"")</f>
        <v>Engineering Safety Awareness</v>
      </c>
      <c r="E30" s="16" t="str">
        <f>IFERROR(INDEX(employees!$C$2:$C$37,MATCH(B30,employees!$A$2:$A$37,0)),"")</f>
        <v>Systems Engineering</v>
      </c>
      <c r="F30" s="16" t="s">
        <v>503</v>
      </c>
      <c r="G30" s="16" t="s">
        <v>509</v>
      </c>
      <c r="H30" s="16" t="s">
        <v>515</v>
      </c>
      <c r="I30" s="16" t="s">
        <v>510</v>
      </c>
      <c r="J30" s="23">
        <v>46276.511874687501</v>
      </c>
      <c r="K30" s="6" t="s">
        <v>519</v>
      </c>
    </row>
    <row r="31" spans="1:11" ht="15" customHeight="1">
      <c r="A31" s="5" t="s">
        <v>549</v>
      </c>
      <c r="B31" s="16" t="s">
        <v>64</v>
      </c>
      <c r="C31" s="16" t="s">
        <v>154</v>
      </c>
      <c r="D31" s="16" t="str">
        <f>IFERROR(INDEX(competency_model!$D$2:$D$25,MATCH(C31,competency_model!$A$2:$A$25,0)),"")</f>
        <v>PivotTables and Power Query</v>
      </c>
      <c r="E31" s="16" t="str">
        <f>IFERROR(INDEX(employees!$C$2:$C$37,MATCH(B31,employees!$A$2:$A$37,0)),"")</f>
        <v>Systems Engineering</v>
      </c>
      <c r="F31" s="16" t="s">
        <v>503</v>
      </c>
      <c r="G31" s="16" t="s">
        <v>509</v>
      </c>
      <c r="H31" s="16" t="s">
        <v>522</v>
      </c>
      <c r="I31" s="16" t="s">
        <v>516</v>
      </c>
      <c r="J31" s="23">
        <v>46254.842732384262</v>
      </c>
      <c r="K31" s="6" t="s">
        <v>507</v>
      </c>
    </row>
    <row r="32" spans="1:11" ht="15" customHeight="1">
      <c r="A32" s="5" t="s">
        <v>550</v>
      </c>
      <c r="B32" s="16" t="s">
        <v>64</v>
      </c>
      <c r="C32" s="16" t="s">
        <v>197</v>
      </c>
      <c r="D32" s="16" t="str">
        <f>IFERROR(INDEX(competency_model!$D$2:$D$25,MATCH(C32,competency_model!$A$2:$A$25,0)),"")</f>
        <v>Competency Tool User Support</v>
      </c>
      <c r="E32" s="16" t="str">
        <f>IFERROR(INDEX(employees!$C$2:$C$37,MATCH(B32,employees!$A$2:$A$37,0)),"")</f>
        <v>Systems Engineering</v>
      </c>
      <c r="F32" s="16" t="s">
        <v>503</v>
      </c>
      <c r="G32" s="16" t="s">
        <v>514</v>
      </c>
      <c r="H32" s="16" t="s">
        <v>515</v>
      </c>
      <c r="I32" s="16" t="s">
        <v>516</v>
      </c>
      <c r="J32" s="23">
        <v>46289.852231469908</v>
      </c>
      <c r="K32" s="6" t="s">
        <v>512</v>
      </c>
    </row>
    <row r="33" spans="1:11" ht="15" customHeight="1">
      <c r="A33" s="5" t="s">
        <v>551</v>
      </c>
      <c r="B33" s="16" t="s">
        <v>64</v>
      </c>
      <c r="C33" s="16" t="s">
        <v>160</v>
      </c>
      <c r="D33" s="16" t="str">
        <f>IFERROR(INDEX(competency_model!$D$2:$D$25,MATCH(C33,competency_model!$A$2:$A$25,0)),"")</f>
        <v>Leadership Storytelling</v>
      </c>
      <c r="E33" s="16" t="str">
        <f>IFERROR(INDEX(employees!$C$2:$C$37,MATCH(B33,employees!$A$2:$A$37,0)),"")</f>
        <v>Systems Engineering</v>
      </c>
      <c r="F33" s="16" t="s">
        <v>503</v>
      </c>
      <c r="G33" s="16" t="s">
        <v>504</v>
      </c>
      <c r="H33" s="16" t="s">
        <v>505</v>
      </c>
      <c r="I33" s="16" t="s">
        <v>506</v>
      </c>
      <c r="J33" s="23">
        <v>46251.190946979164</v>
      </c>
      <c r="K33" s="6" t="s">
        <v>512</v>
      </c>
    </row>
    <row r="34" spans="1:11" ht="15" customHeight="1">
      <c r="A34" s="5" t="s">
        <v>552</v>
      </c>
      <c r="B34" s="16" t="s">
        <v>68</v>
      </c>
      <c r="C34" s="16" t="s">
        <v>186</v>
      </c>
      <c r="D34" s="16" t="str">
        <f>IFERROR(INDEX(competency_model!$D$2:$D$25,MATCH(C34,competency_model!$A$2:$A$25,0)),"")</f>
        <v>Version Control with Git</v>
      </c>
      <c r="E34" s="16" t="str">
        <f>IFERROR(INDEX(employees!$C$2:$C$37,MATCH(B34,employees!$A$2:$A$37,0)),"")</f>
        <v>Protection &amp; Control</v>
      </c>
      <c r="F34" s="16" t="s">
        <v>503</v>
      </c>
      <c r="G34" s="16" t="s">
        <v>521</v>
      </c>
      <c r="H34" s="16" t="s">
        <v>515</v>
      </c>
      <c r="I34" s="16" t="s">
        <v>523</v>
      </c>
      <c r="J34" s="23">
        <v>46222.929040092589</v>
      </c>
      <c r="K34" s="6" t="s">
        <v>519</v>
      </c>
    </row>
    <row r="35" spans="1:11" ht="15" customHeight="1">
      <c r="A35" s="5" t="s">
        <v>553</v>
      </c>
      <c r="B35" s="16" t="s">
        <v>68</v>
      </c>
      <c r="C35" s="16" t="s">
        <v>160</v>
      </c>
      <c r="D35" s="16" t="str">
        <f>IFERROR(INDEX(competency_model!$D$2:$D$25,MATCH(C35,competency_model!$A$2:$A$25,0)),"")</f>
        <v>Leadership Storytelling</v>
      </c>
      <c r="E35" s="16" t="str">
        <f>IFERROR(INDEX(employees!$C$2:$C$37,MATCH(B35,employees!$A$2:$A$37,0)),"")</f>
        <v>Protection &amp; Control</v>
      </c>
      <c r="F35" s="16" t="s">
        <v>503</v>
      </c>
      <c r="G35" s="16" t="s">
        <v>509</v>
      </c>
      <c r="H35" s="16" t="s">
        <v>515</v>
      </c>
      <c r="I35" s="16" t="s">
        <v>506</v>
      </c>
      <c r="J35" s="23">
        <v>46261.85532490741</v>
      </c>
      <c r="K35" s="6" t="s">
        <v>507</v>
      </c>
    </row>
    <row r="36" spans="1:11" ht="15" customHeight="1">
      <c r="A36" s="5" t="s">
        <v>554</v>
      </c>
      <c r="B36" s="16" t="s">
        <v>68</v>
      </c>
      <c r="C36" s="16" t="s">
        <v>173</v>
      </c>
      <c r="D36" s="16" t="str">
        <f>IFERROR(INDEX(competency_model!$D$2:$D$25,MATCH(C36,competency_model!$A$2:$A$25,0)),"")</f>
        <v>Defect Investigation</v>
      </c>
      <c r="E36" s="16" t="str">
        <f>IFERROR(INDEX(employees!$C$2:$C$37,MATCH(B36,employees!$A$2:$A$37,0)),"")</f>
        <v>Protection &amp; Control</v>
      </c>
      <c r="F36" s="16" t="s">
        <v>503</v>
      </c>
      <c r="G36" s="16" t="s">
        <v>509</v>
      </c>
      <c r="H36" s="16" t="s">
        <v>505</v>
      </c>
      <c r="I36" s="16" t="s">
        <v>516</v>
      </c>
      <c r="J36" s="23">
        <v>46251.177686157411</v>
      </c>
      <c r="K36" s="6" t="s">
        <v>517</v>
      </c>
    </row>
    <row r="37" spans="1:11" ht="15" customHeight="1">
      <c r="A37" s="5" t="s">
        <v>555</v>
      </c>
      <c r="B37" s="16" t="s">
        <v>68</v>
      </c>
      <c r="C37" s="16" t="s">
        <v>151</v>
      </c>
      <c r="D37" s="16" t="str">
        <f>IFERROR(INDEX(competency_model!$D$2:$D$25,MATCH(C37,competency_model!$A$2:$A$25,0)),"")</f>
        <v>SQL Querying</v>
      </c>
      <c r="E37" s="16" t="str">
        <f>IFERROR(INDEX(employees!$C$2:$C$37,MATCH(B37,employees!$A$2:$A$37,0)),"")</f>
        <v>Protection &amp; Control</v>
      </c>
      <c r="F37" s="16" t="s">
        <v>503</v>
      </c>
      <c r="G37" s="16" t="s">
        <v>509</v>
      </c>
      <c r="H37" s="16" t="s">
        <v>515</v>
      </c>
      <c r="I37" s="16" t="s">
        <v>523</v>
      </c>
      <c r="J37" s="23">
        <v>46225.172184560186</v>
      </c>
      <c r="K37" s="6" t="s">
        <v>519</v>
      </c>
    </row>
    <row r="38" spans="1:11" ht="15" customHeight="1">
      <c r="A38" s="5" t="s">
        <v>556</v>
      </c>
      <c r="B38" s="16" t="s">
        <v>68</v>
      </c>
      <c r="C38" s="16" t="s">
        <v>178</v>
      </c>
      <c r="D38" s="16" t="str">
        <f>IFERROR(INDEX(competency_model!$D$2:$D$25,MATCH(C38,competency_model!$A$2:$A$25,0)),"")</f>
        <v>Non-Technical Explanation</v>
      </c>
      <c r="E38" s="16" t="str">
        <f>IFERROR(INDEX(employees!$C$2:$C$37,MATCH(B38,employees!$A$2:$A$37,0)),"")</f>
        <v>Protection &amp; Control</v>
      </c>
      <c r="F38" s="16" t="s">
        <v>503</v>
      </c>
      <c r="G38" s="16" t="s">
        <v>504</v>
      </c>
      <c r="H38" s="16" t="s">
        <v>505</v>
      </c>
      <c r="I38" s="16" t="s">
        <v>523</v>
      </c>
      <c r="J38" s="23">
        <v>46264.003463958332</v>
      </c>
      <c r="K38" s="6" t="s">
        <v>519</v>
      </c>
    </row>
    <row r="39" spans="1:11" ht="15" customHeight="1">
      <c r="A39" s="5" t="s">
        <v>557</v>
      </c>
      <c r="B39" s="16" t="s">
        <v>68</v>
      </c>
      <c r="C39" s="16" t="s">
        <v>197</v>
      </c>
      <c r="D39" s="16" t="str">
        <f>IFERROR(INDEX(competency_model!$D$2:$D$25,MATCH(C39,competency_model!$A$2:$A$25,0)),"")</f>
        <v>Competency Tool User Support</v>
      </c>
      <c r="E39" s="16" t="str">
        <f>IFERROR(INDEX(employees!$C$2:$C$37,MATCH(B39,employees!$A$2:$A$37,0)),"")</f>
        <v>Protection &amp; Control</v>
      </c>
      <c r="F39" s="16" t="s">
        <v>503</v>
      </c>
      <c r="G39" s="16" t="s">
        <v>537</v>
      </c>
      <c r="H39" s="16" t="s">
        <v>515</v>
      </c>
      <c r="I39" s="16" t="s">
        <v>510</v>
      </c>
      <c r="J39" s="23">
        <v>46237.208651608795</v>
      </c>
      <c r="K39" s="6" t="s">
        <v>512</v>
      </c>
    </row>
    <row r="40" spans="1:11" ht="15" customHeight="1">
      <c r="A40" s="5" t="s">
        <v>558</v>
      </c>
      <c r="B40" s="16" t="s">
        <v>68</v>
      </c>
      <c r="C40" s="16" t="s">
        <v>183</v>
      </c>
      <c r="D40" s="16" t="str">
        <f>IFERROR(INDEX(competency_model!$D$2:$D$25,MATCH(C40,competency_model!$A$2:$A$25,0)),"")</f>
        <v>Automation Scripting</v>
      </c>
      <c r="E40" s="16" t="str">
        <f>IFERROR(INDEX(employees!$C$2:$C$37,MATCH(B40,employees!$A$2:$A$37,0)),"")</f>
        <v>Protection &amp; Control</v>
      </c>
      <c r="F40" s="16" t="s">
        <v>503</v>
      </c>
      <c r="G40" s="16" t="s">
        <v>514</v>
      </c>
      <c r="H40" s="16" t="s">
        <v>515</v>
      </c>
      <c r="I40" s="16" t="s">
        <v>523</v>
      </c>
      <c r="J40" s="23">
        <v>46247.001356469904</v>
      </c>
      <c r="K40" s="6" t="s">
        <v>519</v>
      </c>
    </row>
    <row r="41" spans="1:11" ht="15" customHeight="1">
      <c r="A41" s="5" t="s">
        <v>559</v>
      </c>
      <c r="B41" s="16" t="s">
        <v>68</v>
      </c>
      <c r="C41" s="16" t="s">
        <v>175</v>
      </c>
      <c r="D41" s="16" t="str">
        <f>IFERROR(INDEX(competency_model!$D$2:$D$25,MATCH(C41,competency_model!$A$2:$A$25,0)),"")</f>
        <v>Engineering Safety Awareness</v>
      </c>
      <c r="E41" s="16" t="str">
        <f>IFERROR(INDEX(employees!$C$2:$C$37,MATCH(B41,employees!$A$2:$A$37,0)),"")</f>
        <v>Protection &amp; Control</v>
      </c>
      <c r="F41" s="16" t="s">
        <v>503</v>
      </c>
      <c r="G41" s="16" t="s">
        <v>514</v>
      </c>
      <c r="H41" s="16" t="s">
        <v>522</v>
      </c>
      <c r="I41" s="16" t="s">
        <v>516</v>
      </c>
      <c r="J41" s="23">
        <v>46291.561571099533</v>
      </c>
      <c r="K41" s="6" t="s">
        <v>519</v>
      </c>
    </row>
    <row r="42" spans="1:11" ht="15" customHeight="1">
      <c r="A42" s="5" t="s">
        <v>560</v>
      </c>
      <c r="B42" s="16" t="s">
        <v>71</v>
      </c>
      <c r="C42" s="16" t="s">
        <v>197</v>
      </c>
      <c r="D42" s="16" t="str">
        <f>IFERROR(INDEX(competency_model!$D$2:$D$25,MATCH(C42,competency_model!$A$2:$A$25,0)),"")</f>
        <v>Competency Tool User Support</v>
      </c>
      <c r="E42" s="16" t="str">
        <f>IFERROR(INDEX(employees!$C$2:$C$37,MATCH(B42,employees!$A$2:$A$37,0)),"")</f>
        <v>Asset Management</v>
      </c>
      <c r="F42" s="16" t="s">
        <v>503</v>
      </c>
      <c r="G42" s="16" t="s">
        <v>504</v>
      </c>
      <c r="H42" s="16" t="s">
        <v>515</v>
      </c>
      <c r="I42" s="16" t="s">
        <v>506</v>
      </c>
      <c r="J42" s="23">
        <v>46221.676730856481</v>
      </c>
      <c r="K42" s="6" t="s">
        <v>519</v>
      </c>
    </row>
    <row r="43" spans="1:11" ht="15" customHeight="1">
      <c r="A43" s="5" t="s">
        <v>561</v>
      </c>
      <c r="B43" s="16" t="s">
        <v>71</v>
      </c>
      <c r="C43" s="16" t="s">
        <v>202</v>
      </c>
      <c r="D43" s="16" t="str">
        <f>IFERROR(INDEX(competency_model!$D$2:$D$25,MATCH(C43,competency_model!$A$2:$A$25,0)),"")</f>
        <v>Dashboard Filtering and Actions</v>
      </c>
      <c r="E43" s="16" t="str">
        <f>IFERROR(INDEX(employees!$C$2:$C$37,MATCH(B43,employees!$A$2:$A$37,0)),"")</f>
        <v>Asset Management</v>
      </c>
      <c r="F43" s="16" t="s">
        <v>503</v>
      </c>
      <c r="G43" s="16" t="s">
        <v>504</v>
      </c>
      <c r="H43" s="16" t="s">
        <v>505</v>
      </c>
      <c r="I43" s="16" t="s">
        <v>506</v>
      </c>
      <c r="J43" s="23">
        <v>46274.61656347222</v>
      </c>
      <c r="K43" s="6" t="s">
        <v>519</v>
      </c>
    </row>
    <row r="44" spans="1:11" ht="15" customHeight="1">
      <c r="A44" s="5" t="s">
        <v>562</v>
      </c>
      <c r="B44" s="16" t="s">
        <v>71</v>
      </c>
      <c r="C44" s="16" t="s">
        <v>178</v>
      </c>
      <c r="D44" s="16" t="str">
        <f>IFERROR(INDEX(competency_model!$D$2:$D$25,MATCH(C44,competency_model!$A$2:$A$25,0)),"")</f>
        <v>Non-Technical Explanation</v>
      </c>
      <c r="E44" s="16" t="str">
        <f>IFERROR(INDEX(employees!$C$2:$C$37,MATCH(B44,employees!$A$2:$A$37,0)),"")</f>
        <v>Asset Management</v>
      </c>
      <c r="F44" s="16" t="s">
        <v>503</v>
      </c>
      <c r="G44" s="16" t="s">
        <v>514</v>
      </c>
      <c r="H44" s="16" t="s">
        <v>505</v>
      </c>
      <c r="I44" s="16" t="s">
        <v>516</v>
      </c>
      <c r="J44" s="23">
        <v>46267.33442994213</v>
      </c>
      <c r="K44" s="6" t="s">
        <v>517</v>
      </c>
    </row>
    <row r="45" spans="1:11" ht="15" customHeight="1">
      <c r="A45" s="5" t="s">
        <v>563</v>
      </c>
      <c r="B45" s="16" t="s">
        <v>71</v>
      </c>
      <c r="C45" s="16" t="s">
        <v>144</v>
      </c>
      <c r="D45" s="16" t="str">
        <f>IFERROR(INDEX(competency_model!$D$2:$D$25,MATCH(C45,competency_model!$A$2:$A$25,0)),"")</f>
        <v>Excel Data Cleaning</v>
      </c>
      <c r="E45" s="16" t="str">
        <f>IFERROR(INDEX(employees!$C$2:$C$37,MATCH(B45,employees!$A$2:$A$37,0)),"")</f>
        <v>Asset Management</v>
      </c>
      <c r="F45" s="16" t="s">
        <v>503</v>
      </c>
      <c r="G45" s="16" t="s">
        <v>537</v>
      </c>
      <c r="H45" s="16" t="s">
        <v>515</v>
      </c>
      <c r="I45" s="16" t="s">
        <v>510</v>
      </c>
      <c r="J45" s="23">
        <v>46221.34290841435</v>
      </c>
      <c r="K45" s="6" t="s">
        <v>512</v>
      </c>
    </row>
    <row r="46" spans="1:11" ht="15" customHeight="1">
      <c r="A46" s="5" t="s">
        <v>564</v>
      </c>
      <c r="B46" s="16" t="s">
        <v>71</v>
      </c>
      <c r="C46" s="16" t="s">
        <v>151</v>
      </c>
      <c r="D46" s="16" t="str">
        <f>IFERROR(INDEX(competency_model!$D$2:$D$25,MATCH(C46,competency_model!$A$2:$A$25,0)),"")</f>
        <v>SQL Querying</v>
      </c>
      <c r="E46" s="16" t="str">
        <f>IFERROR(INDEX(employees!$C$2:$C$37,MATCH(B46,employees!$A$2:$A$37,0)),"")</f>
        <v>Asset Management</v>
      </c>
      <c r="F46" s="16" t="s">
        <v>503</v>
      </c>
      <c r="G46" s="16" t="s">
        <v>504</v>
      </c>
      <c r="H46" s="16" t="s">
        <v>515</v>
      </c>
      <c r="I46" s="16" t="s">
        <v>510</v>
      </c>
      <c r="J46" s="23">
        <v>46260.174833946759</v>
      </c>
      <c r="K46" s="6" t="s">
        <v>512</v>
      </c>
    </row>
    <row r="47" spans="1:11" ht="15" customHeight="1">
      <c r="A47" s="5" t="s">
        <v>565</v>
      </c>
      <c r="B47" s="16" t="s">
        <v>71</v>
      </c>
      <c r="C47" s="16" t="s">
        <v>163</v>
      </c>
      <c r="D47" s="16" t="str">
        <f>IFERROR(INDEX(competency_model!$D$2:$D$25,MATCH(C47,competency_model!$A$2:$A$25,0)),"")</f>
        <v>Technical Documentation</v>
      </c>
      <c r="E47" s="16" t="str">
        <f>IFERROR(INDEX(employees!$C$2:$C$37,MATCH(B47,employees!$A$2:$A$37,0)),"")</f>
        <v>Asset Management</v>
      </c>
      <c r="F47" s="16" t="s">
        <v>503</v>
      </c>
      <c r="G47" s="16" t="s">
        <v>514</v>
      </c>
      <c r="H47" s="16" t="s">
        <v>505</v>
      </c>
      <c r="I47" s="16" t="s">
        <v>510</v>
      </c>
      <c r="J47" s="23">
        <v>46289.211658425927</v>
      </c>
      <c r="K47" s="6" t="s">
        <v>507</v>
      </c>
    </row>
    <row r="48" spans="1:11" ht="15" customHeight="1">
      <c r="A48" s="5" t="s">
        <v>566</v>
      </c>
      <c r="B48" s="16" t="s">
        <v>71</v>
      </c>
      <c r="C48" s="16" t="s">
        <v>200</v>
      </c>
      <c r="D48" s="16" t="str">
        <f>IFERROR(INDEX(competency_model!$D$2:$D$25,MATCH(C48,competency_model!$A$2:$A$25,0)),"")</f>
        <v>Recurring KPI Reporting</v>
      </c>
      <c r="E48" s="16" t="str">
        <f>IFERROR(INDEX(employees!$C$2:$C$37,MATCH(B48,employees!$A$2:$A$37,0)),"")</f>
        <v>Asset Management</v>
      </c>
      <c r="F48" s="16" t="s">
        <v>503</v>
      </c>
      <c r="G48" s="16" t="s">
        <v>521</v>
      </c>
      <c r="H48" s="16" t="s">
        <v>522</v>
      </c>
      <c r="I48" s="16" t="s">
        <v>523</v>
      </c>
      <c r="J48" s="23">
        <v>46320.225310335649</v>
      </c>
      <c r="K48" s="6" t="s">
        <v>512</v>
      </c>
    </row>
    <row r="49" spans="1:11" ht="15" customHeight="1">
      <c r="A49" s="5" t="s">
        <v>567</v>
      </c>
      <c r="B49" s="16" t="s">
        <v>74</v>
      </c>
      <c r="C49" s="16" t="s">
        <v>181</v>
      </c>
      <c r="D49" s="16" t="str">
        <f>IFERROR(INDEX(competency_model!$D$2:$D$25,MATCH(C49,competency_model!$A$2:$A$25,0)),"")</f>
        <v>Cross-Functional Updates</v>
      </c>
      <c r="E49" s="16" t="str">
        <f>IFERROR(INDEX(employees!$C$2:$C$37,MATCH(B49,employees!$A$2:$A$37,0)),"")</f>
        <v>HVDC</v>
      </c>
      <c r="F49" s="16" t="s">
        <v>503</v>
      </c>
      <c r="G49" s="16" t="s">
        <v>521</v>
      </c>
      <c r="H49" s="16" t="s">
        <v>515</v>
      </c>
      <c r="I49" s="16" t="s">
        <v>516</v>
      </c>
      <c r="J49" s="23">
        <v>46265.679853703703</v>
      </c>
      <c r="K49" s="6" t="s">
        <v>519</v>
      </c>
    </row>
    <row r="50" spans="1:11" ht="15" customHeight="1">
      <c r="A50" s="5" t="s">
        <v>568</v>
      </c>
      <c r="B50" s="16" t="s">
        <v>74</v>
      </c>
      <c r="C50" s="16" t="s">
        <v>160</v>
      </c>
      <c r="D50" s="16" t="str">
        <f>IFERROR(INDEX(competency_model!$D$2:$D$25,MATCH(C50,competency_model!$A$2:$A$25,0)),"")</f>
        <v>Leadership Storytelling</v>
      </c>
      <c r="E50" s="16" t="str">
        <f>IFERROR(INDEX(employees!$C$2:$C$37,MATCH(B50,employees!$A$2:$A$37,0)),"")</f>
        <v>HVDC</v>
      </c>
      <c r="F50" s="16" t="s">
        <v>503</v>
      </c>
      <c r="G50" s="16" t="s">
        <v>504</v>
      </c>
      <c r="H50" s="16" t="s">
        <v>522</v>
      </c>
      <c r="I50" s="16" t="s">
        <v>510</v>
      </c>
      <c r="J50" s="23">
        <v>46273.294063634261</v>
      </c>
      <c r="K50" s="6" t="s">
        <v>512</v>
      </c>
    </row>
    <row r="51" spans="1:11" ht="15" customHeight="1">
      <c r="A51" s="5" t="s">
        <v>569</v>
      </c>
      <c r="B51" s="16" t="s">
        <v>74</v>
      </c>
      <c r="C51" s="16" t="s">
        <v>206</v>
      </c>
      <c r="D51" s="16" t="str">
        <f>IFERROR(INDEX(competency_model!$D$2:$D$25,MATCH(C51,competency_model!$A$2:$A$25,0)),"")</f>
        <v>Engineering Performance Indicators</v>
      </c>
      <c r="E51" s="16" t="str">
        <f>IFERROR(INDEX(employees!$C$2:$C$37,MATCH(B51,employees!$A$2:$A$37,0)),"")</f>
        <v>HVDC</v>
      </c>
      <c r="F51" s="16" t="s">
        <v>503</v>
      </c>
      <c r="G51" s="16" t="s">
        <v>537</v>
      </c>
      <c r="H51" s="16" t="s">
        <v>515</v>
      </c>
      <c r="I51" s="16" t="s">
        <v>506</v>
      </c>
      <c r="J51" s="23">
        <v>46288.632927800929</v>
      </c>
      <c r="K51" s="6" t="s">
        <v>519</v>
      </c>
    </row>
    <row r="52" spans="1:11" ht="15" customHeight="1">
      <c r="A52" s="5" t="s">
        <v>570</v>
      </c>
      <c r="B52" s="16" t="s">
        <v>74</v>
      </c>
      <c r="C52" s="16" t="s">
        <v>163</v>
      </c>
      <c r="D52" s="16" t="str">
        <f>IFERROR(INDEX(competency_model!$D$2:$D$25,MATCH(C52,competency_model!$A$2:$A$25,0)),"")</f>
        <v>Technical Documentation</v>
      </c>
      <c r="E52" s="16" t="str">
        <f>IFERROR(INDEX(employees!$C$2:$C$37,MATCH(B52,employees!$A$2:$A$37,0)),"")</f>
        <v>HVDC</v>
      </c>
      <c r="F52" s="16" t="s">
        <v>503</v>
      </c>
      <c r="G52" s="16" t="s">
        <v>504</v>
      </c>
      <c r="H52" s="16" t="s">
        <v>505</v>
      </c>
      <c r="I52" s="16" t="s">
        <v>516</v>
      </c>
      <c r="J52" s="23">
        <v>46222.410740601852</v>
      </c>
      <c r="K52" s="6" t="s">
        <v>519</v>
      </c>
    </row>
    <row r="53" spans="1:11" ht="15" customHeight="1">
      <c r="A53" s="5" t="s">
        <v>571</v>
      </c>
      <c r="B53" s="16" t="s">
        <v>74</v>
      </c>
      <c r="C53" s="16" t="s">
        <v>178</v>
      </c>
      <c r="D53" s="16" t="str">
        <f>IFERROR(INDEX(competency_model!$D$2:$D$25,MATCH(C53,competency_model!$A$2:$A$25,0)),"")</f>
        <v>Non-Technical Explanation</v>
      </c>
      <c r="E53" s="16" t="str">
        <f>IFERROR(INDEX(employees!$C$2:$C$37,MATCH(B53,employees!$A$2:$A$37,0)),"")</f>
        <v>HVDC</v>
      </c>
      <c r="F53" s="16" t="s">
        <v>503</v>
      </c>
      <c r="G53" s="16" t="s">
        <v>509</v>
      </c>
      <c r="H53" s="16" t="s">
        <v>505</v>
      </c>
      <c r="I53" s="16" t="s">
        <v>510</v>
      </c>
      <c r="J53" s="23">
        <v>46275.970362858796</v>
      </c>
      <c r="K53" s="6" t="s">
        <v>512</v>
      </c>
    </row>
    <row r="54" spans="1:11" ht="15" customHeight="1">
      <c r="A54" s="5" t="s">
        <v>572</v>
      </c>
      <c r="B54" s="16" t="s">
        <v>74</v>
      </c>
      <c r="C54" s="16" t="s">
        <v>169</v>
      </c>
      <c r="D54" s="16" t="str">
        <f>IFERROR(INDEX(competency_model!$D$2:$D$25,MATCH(C54,competency_model!$A$2:$A$25,0)),"")</f>
        <v>HVDC System Concepts</v>
      </c>
      <c r="E54" s="16" t="str">
        <f>IFERROR(INDEX(employees!$C$2:$C$37,MATCH(B54,employees!$A$2:$A$37,0)),"")</f>
        <v>HVDC</v>
      </c>
      <c r="F54" s="16" t="s">
        <v>503</v>
      </c>
      <c r="G54" s="16" t="s">
        <v>509</v>
      </c>
      <c r="H54" s="16" t="s">
        <v>505</v>
      </c>
      <c r="I54" s="16" t="s">
        <v>516</v>
      </c>
      <c r="J54" s="23">
        <v>46304.964239976849</v>
      </c>
      <c r="K54" s="6" t="s">
        <v>507</v>
      </c>
    </row>
    <row r="55" spans="1:11" ht="15" customHeight="1">
      <c r="A55" s="5" t="s">
        <v>573</v>
      </c>
      <c r="B55" s="16" t="s">
        <v>78</v>
      </c>
      <c r="C55" s="16" t="s">
        <v>154</v>
      </c>
      <c r="D55" s="16" t="str">
        <f>IFERROR(INDEX(competency_model!$D$2:$D$25,MATCH(C55,competency_model!$A$2:$A$25,0)),"")</f>
        <v>PivotTables and Power Query</v>
      </c>
      <c r="E55" s="16" t="str">
        <f>IFERROR(INDEX(employees!$C$2:$C$37,MATCH(B55,employees!$A$2:$A$37,0)),"")</f>
        <v>Systems Engineering</v>
      </c>
      <c r="F55" s="16" t="s">
        <v>503</v>
      </c>
      <c r="G55" s="16" t="s">
        <v>509</v>
      </c>
      <c r="H55" s="16" t="s">
        <v>505</v>
      </c>
      <c r="I55" s="16" t="s">
        <v>510</v>
      </c>
      <c r="J55" s="23">
        <v>46294.906371655095</v>
      </c>
      <c r="K55" s="6" t="s">
        <v>519</v>
      </c>
    </row>
    <row r="56" spans="1:11" ht="15" customHeight="1">
      <c r="A56" s="5" t="s">
        <v>574</v>
      </c>
      <c r="B56" s="16" t="s">
        <v>78</v>
      </c>
      <c r="C56" s="16" t="s">
        <v>173</v>
      </c>
      <c r="D56" s="16" t="str">
        <f>IFERROR(INDEX(competency_model!$D$2:$D$25,MATCH(C56,competency_model!$A$2:$A$25,0)),"")</f>
        <v>Defect Investigation</v>
      </c>
      <c r="E56" s="16" t="str">
        <f>IFERROR(INDEX(employees!$C$2:$C$37,MATCH(B56,employees!$A$2:$A$37,0)),"")</f>
        <v>Systems Engineering</v>
      </c>
      <c r="F56" s="16" t="s">
        <v>503</v>
      </c>
      <c r="G56" s="16" t="s">
        <v>504</v>
      </c>
      <c r="H56" s="16" t="s">
        <v>515</v>
      </c>
      <c r="I56" s="16" t="s">
        <v>523</v>
      </c>
      <c r="J56" s="23">
        <v>46285.713019756942</v>
      </c>
      <c r="K56" s="6" t="s">
        <v>507</v>
      </c>
    </row>
    <row r="57" spans="1:11" ht="15" customHeight="1">
      <c r="A57" s="5" t="s">
        <v>575</v>
      </c>
      <c r="B57" s="16" t="s">
        <v>78</v>
      </c>
      <c r="C57" s="16" t="s">
        <v>171</v>
      </c>
      <c r="D57" s="16" t="str">
        <f>IFERROR(INDEX(competency_model!$D$2:$D$25,MATCH(C57,competency_model!$A$2:$A$25,0)),"")</f>
        <v>Test Evidence Review</v>
      </c>
      <c r="E57" s="16" t="str">
        <f>IFERROR(INDEX(employees!$C$2:$C$37,MATCH(B57,employees!$A$2:$A$37,0)),"")</f>
        <v>Systems Engineering</v>
      </c>
      <c r="F57" s="16" t="s">
        <v>503</v>
      </c>
      <c r="G57" s="16" t="s">
        <v>514</v>
      </c>
      <c r="H57" s="16" t="s">
        <v>515</v>
      </c>
      <c r="I57" s="16" t="s">
        <v>516</v>
      </c>
      <c r="J57" s="23">
        <v>46264.287852604168</v>
      </c>
      <c r="K57" s="6" t="s">
        <v>512</v>
      </c>
    </row>
    <row r="58" spans="1:11" ht="15" customHeight="1">
      <c r="A58" s="5" t="s">
        <v>576</v>
      </c>
      <c r="B58" s="16" t="s">
        <v>78</v>
      </c>
      <c r="C58" s="16" t="s">
        <v>189</v>
      </c>
      <c r="D58" s="16" t="str">
        <f>IFERROR(INDEX(competency_model!$D$2:$D$25,MATCH(C58,competency_model!$A$2:$A$25,0)),"")</f>
        <v>Duplicate and Missing Value Checks</v>
      </c>
      <c r="E58" s="16" t="str">
        <f>IFERROR(INDEX(employees!$C$2:$C$37,MATCH(B58,employees!$A$2:$A$37,0)),"")</f>
        <v>Systems Engineering</v>
      </c>
      <c r="F58" s="16" t="s">
        <v>503</v>
      </c>
      <c r="G58" s="16" t="s">
        <v>509</v>
      </c>
      <c r="H58" s="16" t="s">
        <v>505</v>
      </c>
      <c r="I58" s="16" t="s">
        <v>523</v>
      </c>
      <c r="J58" s="23">
        <v>46249.77678886574</v>
      </c>
      <c r="K58" s="6" t="s">
        <v>517</v>
      </c>
    </row>
    <row r="59" spans="1:11" ht="15" customHeight="1">
      <c r="A59" s="7" t="s">
        <v>577</v>
      </c>
      <c r="B59" s="17" t="s">
        <v>78</v>
      </c>
      <c r="C59" s="17" t="s">
        <v>178</v>
      </c>
      <c r="D59" s="17" t="str">
        <f>IFERROR(INDEX(competency_model!$D$2:$D$25,MATCH(C59,competency_model!$A$2:$A$25,0)),"")</f>
        <v>Non-Technical Explanation</v>
      </c>
      <c r="E59" s="17" t="str">
        <f>IFERROR(INDEX(employees!$C$2:$C$37,MATCH(B59,employees!$A$2:$A$37,0)),"")</f>
        <v>Systems Engineering</v>
      </c>
      <c r="F59" s="17" t="s">
        <v>503</v>
      </c>
      <c r="G59" s="17" t="s">
        <v>504</v>
      </c>
      <c r="H59" s="17" t="s">
        <v>515</v>
      </c>
      <c r="I59" s="17" t="s">
        <v>506</v>
      </c>
      <c r="J59" s="24">
        <v>46263.056082627314</v>
      </c>
      <c r="K59" s="8" t="s">
        <v>517</v>
      </c>
    </row>
  </sheetData>
  <dataValidations count="1">
    <dataValidation type="list" sqref="H2:H59" xr:uid="{00000000-0002-0000-0500-000000000000}">
      <formula1>"Not Started,In Progress,Completed"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81"/>
  <sheetViews>
    <sheetView showGridLines="0" tabSelected="1" workbookViewId="0"/>
  </sheetViews>
  <sheetFormatPr defaultRowHeight="13.5"/>
  <cols>
    <col min="1" max="1" width="11.1875" customWidth="1"/>
    <col min="2" max="2" width="14.375" customWidth="1"/>
    <col min="3" max="3" width="12.25" customWidth="1"/>
    <col min="4" max="4" width="12.375" customWidth="1"/>
    <col min="5" max="5" width="10.625" customWidth="1"/>
    <col min="6" max="6" width="11.625" customWidth="1"/>
    <col min="7" max="7" width="3.25" customWidth="1"/>
    <col min="8" max="8" width="10" customWidth="1"/>
    <col min="9" max="9" width="12.875" customWidth="1"/>
    <col min="10" max="10" width="15.5" customWidth="1"/>
  </cols>
  <sheetData>
    <row r="1" spans="1:10" ht="15" customHeight="1">
      <c r="A1" s="9" t="s">
        <v>578</v>
      </c>
      <c r="B1" s="18" t="s">
        <v>37</v>
      </c>
      <c r="C1" s="18" t="s">
        <v>138</v>
      </c>
      <c r="D1" s="18" t="s">
        <v>579</v>
      </c>
      <c r="E1" s="18" t="s">
        <v>209</v>
      </c>
      <c r="F1" s="18" t="s">
        <v>142</v>
      </c>
      <c r="G1" s="18" t="s">
        <v>210</v>
      </c>
      <c r="H1" s="18" t="s">
        <v>580</v>
      </c>
      <c r="I1" s="18" t="s">
        <v>215</v>
      </c>
      <c r="J1" s="10" t="s">
        <v>581</v>
      </c>
    </row>
    <row r="2" spans="1:10" ht="15" customHeight="1">
      <c r="A2" s="5" t="s">
        <v>582</v>
      </c>
      <c r="B2" s="16" t="s">
        <v>46</v>
      </c>
      <c r="C2" s="16" t="s">
        <v>169</v>
      </c>
      <c r="D2" s="16" t="s">
        <v>583</v>
      </c>
      <c r="E2" s="21">
        <v>1</v>
      </c>
      <c r="F2" s="21">
        <f>IFERROR(INDEX(competency_model!$F$2:$F$25,MATCH(C2,competency_model!$A$2:$A$25,0)),"")</f>
        <v>3</v>
      </c>
      <c r="G2" s="21">
        <f t="shared" ref="G2:G65" si="0">MAX(0,F2-E2)</f>
        <v>2</v>
      </c>
      <c r="H2" s="23">
        <v>45874</v>
      </c>
      <c r="I2" s="16" t="s">
        <v>225</v>
      </c>
      <c r="J2" s="6" t="s">
        <v>584</v>
      </c>
    </row>
    <row r="3" spans="1:10" ht="15" customHeight="1">
      <c r="A3" s="5" t="s">
        <v>585</v>
      </c>
      <c r="B3" s="16" t="s">
        <v>46</v>
      </c>
      <c r="C3" s="16" t="s">
        <v>169</v>
      </c>
      <c r="D3" s="16" t="s">
        <v>586</v>
      </c>
      <c r="E3" s="21">
        <v>2</v>
      </c>
      <c r="F3" s="21">
        <f>IFERROR(INDEX(competency_model!$F$2:$F$25,MATCH(C3,competency_model!$A$2:$A$25,0)),"")</f>
        <v>3</v>
      </c>
      <c r="G3" s="21">
        <f t="shared" si="0"/>
        <v>1</v>
      </c>
      <c r="H3" s="23">
        <v>45973</v>
      </c>
      <c r="I3" s="16" t="s">
        <v>228</v>
      </c>
      <c r="J3" s="6" t="s">
        <v>587</v>
      </c>
    </row>
    <row r="4" spans="1:10" ht="15" customHeight="1">
      <c r="A4" s="5" t="s">
        <v>588</v>
      </c>
      <c r="B4" s="16" t="s">
        <v>46</v>
      </c>
      <c r="C4" s="16" t="s">
        <v>169</v>
      </c>
      <c r="D4" s="16" t="s">
        <v>589</v>
      </c>
      <c r="E4" s="21">
        <v>2</v>
      </c>
      <c r="F4" s="21">
        <f>IFERROR(INDEX(competency_model!$F$2:$F$25,MATCH(C4,competency_model!$A$2:$A$25,0)),"")</f>
        <v>3</v>
      </c>
      <c r="G4" s="21">
        <f t="shared" si="0"/>
        <v>1</v>
      </c>
      <c r="H4" s="23">
        <v>46066</v>
      </c>
      <c r="I4" s="16" t="s">
        <v>228</v>
      </c>
      <c r="J4" s="6" t="s">
        <v>587</v>
      </c>
    </row>
    <row r="5" spans="1:10" ht="15" customHeight="1">
      <c r="A5" s="5" t="s">
        <v>590</v>
      </c>
      <c r="B5" s="16" t="s">
        <v>46</v>
      </c>
      <c r="C5" s="16" t="s">
        <v>169</v>
      </c>
      <c r="D5" s="16" t="s">
        <v>591</v>
      </c>
      <c r="E5" s="21">
        <v>4</v>
      </c>
      <c r="F5" s="21">
        <f>IFERROR(INDEX(competency_model!$F$2:$F$25,MATCH(C5,competency_model!$A$2:$A$25,0)),"")</f>
        <v>3</v>
      </c>
      <c r="G5" s="21">
        <f t="shared" si="0"/>
        <v>0</v>
      </c>
      <c r="H5" s="23">
        <v>46149</v>
      </c>
      <c r="I5" s="16" t="s">
        <v>228</v>
      </c>
      <c r="J5" s="6" t="s">
        <v>592</v>
      </c>
    </row>
    <row r="6" spans="1:10" ht="15" customHeight="1">
      <c r="A6" s="5" t="s">
        <v>593</v>
      </c>
      <c r="B6" s="16" t="s">
        <v>46</v>
      </c>
      <c r="C6" s="16" t="s">
        <v>197</v>
      </c>
      <c r="D6" s="16" t="s">
        <v>583</v>
      </c>
      <c r="E6" s="21">
        <v>1</v>
      </c>
      <c r="F6" s="21">
        <f>IFERROR(INDEX(competency_model!$F$2:$F$25,MATCH(C6,competency_model!$A$2:$A$25,0)),"")</f>
        <v>3</v>
      </c>
      <c r="G6" s="21">
        <f t="shared" si="0"/>
        <v>2</v>
      </c>
      <c r="H6" s="23">
        <v>45890</v>
      </c>
      <c r="I6" s="16" t="s">
        <v>228</v>
      </c>
      <c r="J6" s="6" t="s">
        <v>592</v>
      </c>
    </row>
    <row r="7" spans="1:10" ht="15" customHeight="1">
      <c r="A7" s="5" t="s">
        <v>594</v>
      </c>
      <c r="B7" s="16" t="s">
        <v>46</v>
      </c>
      <c r="C7" s="16" t="s">
        <v>197</v>
      </c>
      <c r="D7" s="16" t="s">
        <v>586</v>
      </c>
      <c r="E7" s="21">
        <v>1</v>
      </c>
      <c r="F7" s="21">
        <f>IFERROR(INDEX(competency_model!$F$2:$F$25,MATCH(C7,competency_model!$A$2:$A$25,0)),"")</f>
        <v>3</v>
      </c>
      <c r="G7" s="21">
        <f t="shared" si="0"/>
        <v>2</v>
      </c>
      <c r="H7" s="23">
        <v>45981</v>
      </c>
      <c r="I7" s="16" t="s">
        <v>225</v>
      </c>
      <c r="J7" s="6" t="s">
        <v>592</v>
      </c>
    </row>
    <row r="8" spans="1:10" ht="15" customHeight="1">
      <c r="A8" s="5" t="s">
        <v>595</v>
      </c>
      <c r="B8" s="16" t="s">
        <v>46</v>
      </c>
      <c r="C8" s="16" t="s">
        <v>197</v>
      </c>
      <c r="D8" s="16" t="s">
        <v>589</v>
      </c>
      <c r="E8" s="21">
        <v>2</v>
      </c>
      <c r="F8" s="21">
        <f>IFERROR(INDEX(competency_model!$F$2:$F$25,MATCH(C8,competency_model!$A$2:$A$25,0)),"")</f>
        <v>3</v>
      </c>
      <c r="G8" s="21">
        <f t="shared" si="0"/>
        <v>1</v>
      </c>
      <c r="H8" s="23">
        <v>46060</v>
      </c>
      <c r="I8" s="16" t="s">
        <v>225</v>
      </c>
      <c r="J8" s="6" t="s">
        <v>596</v>
      </c>
    </row>
    <row r="9" spans="1:10" ht="15" customHeight="1">
      <c r="A9" s="5" t="s">
        <v>597</v>
      </c>
      <c r="B9" s="16" t="s">
        <v>46</v>
      </c>
      <c r="C9" s="16" t="s">
        <v>197</v>
      </c>
      <c r="D9" s="16" t="s">
        <v>591</v>
      </c>
      <c r="E9" s="21">
        <v>4</v>
      </c>
      <c r="F9" s="21">
        <f>IFERROR(INDEX(competency_model!$F$2:$F$25,MATCH(C9,competency_model!$A$2:$A$25,0)),"")</f>
        <v>3</v>
      </c>
      <c r="G9" s="21">
        <f t="shared" si="0"/>
        <v>0</v>
      </c>
      <c r="H9" s="23">
        <v>46148</v>
      </c>
      <c r="I9" s="16" t="s">
        <v>228</v>
      </c>
      <c r="J9" s="6" t="s">
        <v>584</v>
      </c>
    </row>
    <row r="10" spans="1:10" ht="15" customHeight="1">
      <c r="A10" s="5" t="s">
        <v>598</v>
      </c>
      <c r="B10" s="16" t="s">
        <v>46</v>
      </c>
      <c r="C10" s="16" t="s">
        <v>178</v>
      </c>
      <c r="D10" s="16" t="s">
        <v>583</v>
      </c>
      <c r="E10" s="21">
        <v>1</v>
      </c>
      <c r="F10" s="21">
        <f>IFERROR(INDEX(competency_model!$F$2:$F$25,MATCH(C10,competency_model!$A$2:$A$25,0)),"")</f>
        <v>3</v>
      </c>
      <c r="G10" s="21">
        <f t="shared" si="0"/>
        <v>2</v>
      </c>
      <c r="H10" s="23">
        <v>45874</v>
      </c>
      <c r="I10" s="16" t="s">
        <v>228</v>
      </c>
      <c r="J10" s="6" t="s">
        <v>592</v>
      </c>
    </row>
    <row r="11" spans="1:10" ht="15" customHeight="1">
      <c r="A11" s="5" t="s">
        <v>599</v>
      </c>
      <c r="B11" s="16" t="s">
        <v>46</v>
      </c>
      <c r="C11" s="16" t="s">
        <v>178</v>
      </c>
      <c r="D11" s="16" t="s">
        <v>586</v>
      </c>
      <c r="E11" s="21">
        <v>3</v>
      </c>
      <c r="F11" s="21">
        <f>IFERROR(INDEX(competency_model!$F$2:$F$25,MATCH(C11,competency_model!$A$2:$A$25,0)),"")</f>
        <v>3</v>
      </c>
      <c r="G11" s="21">
        <f t="shared" si="0"/>
        <v>0</v>
      </c>
      <c r="H11" s="23">
        <v>45979</v>
      </c>
      <c r="I11" s="16" t="s">
        <v>228</v>
      </c>
      <c r="J11" s="6" t="s">
        <v>596</v>
      </c>
    </row>
    <row r="12" spans="1:10" ht="15" customHeight="1">
      <c r="A12" s="5" t="s">
        <v>600</v>
      </c>
      <c r="B12" s="16" t="s">
        <v>46</v>
      </c>
      <c r="C12" s="16" t="s">
        <v>178</v>
      </c>
      <c r="D12" s="16" t="s">
        <v>589</v>
      </c>
      <c r="E12" s="21">
        <v>3</v>
      </c>
      <c r="F12" s="21">
        <f>IFERROR(INDEX(competency_model!$F$2:$F$25,MATCH(C12,competency_model!$A$2:$A$25,0)),"")</f>
        <v>3</v>
      </c>
      <c r="G12" s="21">
        <f t="shared" si="0"/>
        <v>0</v>
      </c>
      <c r="H12" s="23">
        <v>46066</v>
      </c>
      <c r="I12" s="16" t="s">
        <v>228</v>
      </c>
      <c r="J12" s="6" t="s">
        <v>596</v>
      </c>
    </row>
    <row r="13" spans="1:10" ht="15" customHeight="1">
      <c r="A13" s="5" t="s">
        <v>601</v>
      </c>
      <c r="B13" s="16" t="s">
        <v>46</v>
      </c>
      <c r="C13" s="16" t="s">
        <v>178</v>
      </c>
      <c r="D13" s="16" t="s">
        <v>591</v>
      </c>
      <c r="E13" s="21">
        <v>4</v>
      </c>
      <c r="F13" s="21">
        <f>IFERROR(INDEX(competency_model!$F$2:$F$25,MATCH(C13,competency_model!$A$2:$A$25,0)),"")</f>
        <v>3</v>
      </c>
      <c r="G13" s="21">
        <f t="shared" si="0"/>
        <v>0</v>
      </c>
      <c r="H13" s="23">
        <v>46147</v>
      </c>
      <c r="I13" s="16" t="s">
        <v>222</v>
      </c>
      <c r="J13" s="6" t="s">
        <v>587</v>
      </c>
    </row>
    <row r="14" spans="1:10" ht="15" customHeight="1">
      <c r="A14" s="5" t="s">
        <v>602</v>
      </c>
      <c r="B14" s="16" t="s">
        <v>46</v>
      </c>
      <c r="C14" s="16" t="s">
        <v>154</v>
      </c>
      <c r="D14" s="16" t="s">
        <v>583</v>
      </c>
      <c r="E14" s="21">
        <v>1</v>
      </c>
      <c r="F14" s="21">
        <f>IFERROR(INDEX(competency_model!$F$2:$F$25,MATCH(C14,competency_model!$A$2:$A$25,0)),"")</f>
        <v>4</v>
      </c>
      <c r="G14" s="21">
        <f t="shared" si="0"/>
        <v>3</v>
      </c>
      <c r="H14" s="23">
        <v>45895</v>
      </c>
      <c r="I14" s="16" t="s">
        <v>225</v>
      </c>
      <c r="J14" s="6" t="s">
        <v>592</v>
      </c>
    </row>
    <row r="15" spans="1:10" ht="15" customHeight="1">
      <c r="A15" s="5" t="s">
        <v>603</v>
      </c>
      <c r="B15" s="16" t="s">
        <v>46</v>
      </c>
      <c r="C15" s="16" t="s">
        <v>154</v>
      </c>
      <c r="D15" s="16" t="s">
        <v>586</v>
      </c>
      <c r="E15" s="21">
        <v>1</v>
      </c>
      <c r="F15" s="21">
        <f>IFERROR(INDEX(competency_model!$F$2:$F$25,MATCH(C15,competency_model!$A$2:$A$25,0)),"")</f>
        <v>4</v>
      </c>
      <c r="G15" s="21">
        <f t="shared" si="0"/>
        <v>3</v>
      </c>
      <c r="H15" s="23">
        <v>45972</v>
      </c>
      <c r="I15" s="16" t="s">
        <v>222</v>
      </c>
      <c r="J15" s="6" t="s">
        <v>596</v>
      </c>
    </row>
    <row r="16" spans="1:10" ht="15" customHeight="1">
      <c r="A16" s="5" t="s">
        <v>604</v>
      </c>
      <c r="B16" s="16" t="s">
        <v>46</v>
      </c>
      <c r="C16" s="16" t="s">
        <v>154</v>
      </c>
      <c r="D16" s="16" t="s">
        <v>589</v>
      </c>
      <c r="E16" s="21">
        <v>2</v>
      </c>
      <c r="F16" s="21">
        <f>IFERROR(INDEX(competency_model!$F$2:$F$25,MATCH(C16,competency_model!$A$2:$A$25,0)),"")</f>
        <v>4</v>
      </c>
      <c r="G16" s="21">
        <f t="shared" si="0"/>
        <v>2</v>
      </c>
      <c r="H16" s="23">
        <v>46067</v>
      </c>
      <c r="I16" s="16" t="s">
        <v>222</v>
      </c>
      <c r="J16" s="6" t="s">
        <v>592</v>
      </c>
    </row>
    <row r="17" spans="1:10" ht="15" customHeight="1">
      <c r="A17" s="5" t="s">
        <v>605</v>
      </c>
      <c r="B17" s="16" t="s">
        <v>46</v>
      </c>
      <c r="C17" s="16" t="s">
        <v>154</v>
      </c>
      <c r="D17" s="16" t="s">
        <v>591</v>
      </c>
      <c r="E17" s="21">
        <v>3</v>
      </c>
      <c r="F17" s="21">
        <f>IFERROR(INDEX(competency_model!$F$2:$F$25,MATCH(C17,competency_model!$A$2:$A$25,0)),"")</f>
        <v>4</v>
      </c>
      <c r="G17" s="21">
        <f t="shared" si="0"/>
        <v>1</v>
      </c>
      <c r="H17" s="23">
        <v>46161</v>
      </c>
      <c r="I17" s="16" t="s">
        <v>228</v>
      </c>
      <c r="J17" s="6" t="s">
        <v>596</v>
      </c>
    </row>
    <row r="18" spans="1:10" ht="15" customHeight="1">
      <c r="A18" s="5" t="s">
        <v>606</v>
      </c>
      <c r="B18" s="16" t="s">
        <v>46</v>
      </c>
      <c r="C18" s="16" t="s">
        <v>160</v>
      </c>
      <c r="D18" s="16" t="s">
        <v>583</v>
      </c>
      <c r="E18" s="21">
        <v>1</v>
      </c>
      <c r="F18" s="21">
        <f>IFERROR(INDEX(competency_model!$F$2:$F$25,MATCH(C18,competency_model!$A$2:$A$25,0)),"")</f>
        <v>3</v>
      </c>
      <c r="G18" s="21">
        <f t="shared" si="0"/>
        <v>2</v>
      </c>
      <c r="H18" s="23">
        <v>45884</v>
      </c>
      <c r="I18" s="16" t="s">
        <v>222</v>
      </c>
      <c r="J18" s="6" t="s">
        <v>587</v>
      </c>
    </row>
    <row r="19" spans="1:10" ht="15" customHeight="1">
      <c r="A19" s="5" t="s">
        <v>607</v>
      </c>
      <c r="B19" s="16" t="s">
        <v>46</v>
      </c>
      <c r="C19" s="16" t="s">
        <v>160</v>
      </c>
      <c r="D19" s="16" t="s">
        <v>586</v>
      </c>
      <c r="E19" s="21">
        <v>2</v>
      </c>
      <c r="F19" s="21">
        <f>IFERROR(INDEX(competency_model!$F$2:$F$25,MATCH(C19,competency_model!$A$2:$A$25,0)),"")</f>
        <v>3</v>
      </c>
      <c r="G19" s="21">
        <f t="shared" si="0"/>
        <v>1</v>
      </c>
      <c r="H19" s="23">
        <v>45972</v>
      </c>
      <c r="I19" s="16" t="s">
        <v>228</v>
      </c>
      <c r="J19" s="6" t="s">
        <v>587</v>
      </c>
    </row>
    <row r="20" spans="1:10" ht="15" customHeight="1">
      <c r="A20" s="5" t="s">
        <v>608</v>
      </c>
      <c r="B20" s="16" t="s">
        <v>46</v>
      </c>
      <c r="C20" s="16" t="s">
        <v>160</v>
      </c>
      <c r="D20" s="16" t="s">
        <v>589</v>
      </c>
      <c r="E20" s="21">
        <v>2</v>
      </c>
      <c r="F20" s="21">
        <f>IFERROR(INDEX(competency_model!$F$2:$F$25,MATCH(C20,competency_model!$A$2:$A$25,0)),"")</f>
        <v>3</v>
      </c>
      <c r="G20" s="21">
        <f t="shared" si="0"/>
        <v>1</v>
      </c>
      <c r="H20" s="23">
        <v>46058</v>
      </c>
      <c r="I20" s="16" t="s">
        <v>228</v>
      </c>
      <c r="J20" s="6" t="s">
        <v>587</v>
      </c>
    </row>
    <row r="21" spans="1:10" ht="15" customHeight="1">
      <c r="A21" s="5" t="s">
        <v>609</v>
      </c>
      <c r="B21" s="16" t="s">
        <v>46</v>
      </c>
      <c r="C21" s="16" t="s">
        <v>160</v>
      </c>
      <c r="D21" s="16" t="s">
        <v>591</v>
      </c>
      <c r="E21" s="21">
        <v>3</v>
      </c>
      <c r="F21" s="21">
        <f>IFERROR(INDEX(competency_model!$F$2:$F$25,MATCH(C21,competency_model!$A$2:$A$25,0)),"")</f>
        <v>3</v>
      </c>
      <c r="G21" s="21">
        <f t="shared" si="0"/>
        <v>0</v>
      </c>
      <c r="H21" s="23">
        <v>46149</v>
      </c>
      <c r="I21" s="16" t="s">
        <v>225</v>
      </c>
      <c r="J21" s="6" t="s">
        <v>584</v>
      </c>
    </row>
    <row r="22" spans="1:10" ht="15" customHeight="1">
      <c r="A22" s="5" t="s">
        <v>610</v>
      </c>
      <c r="B22" s="16" t="s">
        <v>46</v>
      </c>
      <c r="C22" s="16" t="s">
        <v>206</v>
      </c>
      <c r="D22" s="16" t="s">
        <v>583</v>
      </c>
      <c r="E22" s="21">
        <v>1</v>
      </c>
      <c r="F22" s="21">
        <f>IFERROR(INDEX(competency_model!$F$2:$F$25,MATCH(C22,competency_model!$A$2:$A$25,0)),"")</f>
        <v>3</v>
      </c>
      <c r="G22" s="21">
        <f t="shared" si="0"/>
        <v>2</v>
      </c>
      <c r="H22" s="23">
        <v>45879</v>
      </c>
      <c r="I22" s="16" t="s">
        <v>225</v>
      </c>
      <c r="J22" s="6" t="s">
        <v>584</v>
      </c>
    </row>
    <row r="23" spans="1:10" ht="15" customHeight="1">
      <c r="A23" s="5" t="s">
        <v>611</v>
      </c>
      <c r="B23" s="16" t="s">
        <v>46</v>
      </c>
      <c r="C23" s="16" t="s">
        <v>206</v>
      </c>
      <c r="D23" s="16" t="s">
        <v>586</v>
      </c>
      <c r="E23" s="21">
        <v>1</v>
      </c>
      <c r="F23" s="21">
        <f>IFERROR(INDEX(competency_model!$F$2:$F$25,MATCH(C23,competency_model!$A$2:$A$25,0)),"")</f>
        <v>3</v>
      </c>
      <c r="G23" s="21">
        <f t="shared" si="0"/>
        <v>2</v>
      </c>
      <c r="H23" s="23">
        <v>45973</v>
      </c>
      <c r="I23" s="16" t="s">
        <v>225</v>
      </c>
      <c r="J23" s="6" t="s">
        <v>587</v>
      </c>
    </row>
    <row r="24" spans="1:10" ht="15" customHeight="1">
      <c r="A24" s="5" t="s">
        <v>612</v>
      </c>
      <c r="B24" s="16" t="s">
        <v>46</v>
      </c>
      <c r="C24" s="16" t="s">
        <v>206</v>
      </c>
      <c r="D24" s="16" t="s">
        <v>589</v>
      </c>
      <c r="E24" s="21">
        <v>1</v>
      </c>
      <c r="F24" s="21">
        <f>IFERROR(INDEX(competency_model!$F$2:$F$25,MATCH(C24,competency_model!$A$2:$A$25,0)),"")</f>
        <v>3</v>
      </c>
      <c r="G24" s="21">
        <f t="shared" si="0"/>
        <v>2</v>
      </c>
      <c r="H24" s="23">
        <v>46066</v>
      </c>
      <c r="I24" s="16" t="s">
        <v>222</v>
      </c>
      <c r="J24" s="6" t="s">
        <v>592</v>
      </c>
    </row>
    <row r="25" spans="1:10" ht="15" customHeight="1">
      <c r="A25" s="5" t="s">
        <v>613</v>
      </c>
      <c r="B25" s="16" t="s">
        <v>46</v>
      </c>
      <c r="C25" s="16" t="s">
        <v>206</v>
      </c>
      <c r="D25" s="16" t="s">
        <v>591</v>
      </c>
      <c r="E25" s="21">
        <v>3</v>
      </c>
      <c r="F25" s="21">
        <f>IFERROR(INDEX(competency_model!$F$2:$F$25,MATCH(C25,competency_model!$A$2:$A$25,0)),"")</f>
        <v>3</v>
      </c>
      <c r="G25" s="21">
        <f t="shared" si="0"/>
        <v>0</v>
      </c>
      <c r="H25" s="23">
        <v>46161</v>
      </c>
      <c r="I25" s="16" t="s">
        <v>228</v>
      </c>
      <c r="J25" s="6" t="s">
        <v>596</v>
      </c>
    </row>
    <row r="26" spans="1:10" ht="15" customHeight="1">
      <c r="A26" s="5" t="s">
        <v>614</v>
      </c>
      <c r="B26" s="16" t="s">
        <v>46</v>
      </c>
      <c r="C26" s="16" t="s">
        <v>181</v>
      </c>
      <c r="D26" s="16" t="s">
        <v>583</v>
      </c>
      <c r="E26" s="21">
        <v>1</v>
      </c>
      <c r="F26" s="21">
        <f>IFERROR(INDEX(competency_model!$F$2:$F$25,MATCH(C26,competency_model!$A$2:$A$25,0)),"")</f>
        <v>3</v>
      </c>
      <c r="G26" s="21">
        <f t="shared" si="0"/>
        <v>2</v>
      </c>
      <c r="H26" s="23">
        <v>45875</v>
      </c>
      <c r="I26" s="16" t="s">
        <v>228</v>
      </c>
      <c r="J26" s="6" t="s">
        <v>596</v>
      </c>
    </row>
    <row r="27" spans="1:10" ht="15" customHeight="1">
      <c r="A27" s="5" t="s">
        <v>615</v>
      </c>
      <c r="B27" s="16" t="s">
        <v>46</v>
      </c>
      <c r="C27" s="16" t="s">
        <v>181</v>
      </c>
      <c r="D27" s="16" t="s">
        <v>586</v>
      </c>
      <c r="E27" s="21">
        <v>1</v>
      </c>
      <c r="F27" s="21">
        <f>IFERROR(INDEX(competency_model!$F$2:$F$25,MATCH(C27,competency_model!$A$2:$A$25,0)),"")</f>
        <v>3</v>
      </c>
      <c r="G27" s="21">
        <f t="shared" si="0"/>
        <v>2</v>
      </c>
      <c r="H27" s="23">
        <v>45966</v>
      </c>
      <c r="I27" s="16" t="s">
        <v>225</v>
      </c>
      <c r="J27" s="6" t="s">
        <v>592</v>
      </c>
    </row>
    <row r="28" spans="1:10" ht="15" customHeight="1">
      <c r="A28" s="5" t="s">
        <v>616</v>
      </c>
      <c r="B28" s="16" t="s">
        <v>46</v>
      </c>
      <c r="C28" s="16" t="s">
        <v>181</v>
      </c>
      <c r="D28" s="16" t="s">
        <v>589</v>
      </c>
      <c r="E28" s="21">
        <v>2</v>
      </c>
      <c r="F28" s="21">
        <f>IFERROR(INDEX(competency_model!$F$2:$F$25,MATCH(C28,competency_model!$A$2:$A$25,0)),"")</f>
        <v>3</v>
      </c>
      <c r="G28" s="21">
        <f t="shared" si="0"/>
        <v>1</v>
      </c>
      <c r="H28" s="23">
        <v>46068</v>
      </c>
      <c r="I28" s="16" t="s">
        <v>225</v>
      </c>
      <c r="J28" s="6" t="s">
        <v>592</v>
      </c>
    </row>
    <row r="29" spans="1:10" ht="15" customHeight="1">
      <c r="A29" s="5" t="s">
        <v>617</v>
      </c>
      <c r="B29" s="16" t="s">
        <v>46</v>
      </c>
      <c r="C29" s="16" t="s">
        <v>181</v>
      </c>
      <c r="D29" s="16" t="s">
        <v>591</v>
      </c>
      <c r="E29" s="21">
        <v>2</v>
      </c>
      <c r="F29" s="21">
        <f>IFERROR(INDEX(competency_model!$F$2:$F$25,MATCH(C29,competency_model!$A$2:$A$25,0)),"")</f>
        <v>3</v>
      </c>
      <c r="G29" s="21">
        <f t="shared" si="0"/>
        <v>1</v>
      </c>
      <c r="H29" s="23">
        <v>46156</v>
      </c>
      <c r="I29" s="16" t="s">
        <v>222</v>
      </c>
      <c r="J29" s="6" t="s">
        <v>587</v>
      </c>
    </row>
    <row r="30" spans="1:10" ht="15" customHeight="1">
      <c r="A30" s="5" t="s">
        <v>618</v>
      </c>
      <c r="B30" s="16" t="s">
        <v>46</v>
      </c>
      <c r="C30" s="16" t="s">
        <v>163</v>
      </c>
      <c r="D30" s="16" t="s">
        <v>583</v>
      </c>
      <c r="E30" s="21">
        <v>2</v>
      </c>
      <c r="F30" s="21">
        <f>IFERROR(INDEX(competency_model!$F$2:$F$25,MATCH(C30,competency_model!$A$2:$A$25,0)),"")</f>
        <v>4</v>
      </c>
      <c r="G30" s="21">
        <f t="shared" si="0"/>
        <v>2</v>
      </c>
      <c r="H30" s="23">
        <v>45888</v>
      </c>
      <c r="I30" s="16" t="s">
        <v>228</v>
      </c>
      <c r="J30" s="6" t="s">
        <v>584</v>
      </c>
    </row>
    <row r="31" spans="1:10" ht="15" customHeight="1">
      <c r="A31" s="5" t="s">
        <v>619</v>
      </c>
      <c r="B31" s="16" t="s">
        <v>46</v>
      </c>
      <c r="C31" s="16" t="s">
        <v>163</v>
      </c>
      <c r="D31" s="16" t="s">
        <v>586</v>
      </c>
      <c r="E31" s="21">
        <v>3</v>
      </c>
      <c r="F31" s="21">
        <f>IFERROR(INDEX(competency_model!$F$2:$F$25,MATCH(C31,competency_model!$A$2:$A$25,0)),"")</f>
        <v>4</v>
      </c>
      <c r="G31" s="21">
        <f t="shared" si="0"/>
        <v>1</v>
      </c>
      <c r="H31" s="23">
        <v>45987</v>
      </c>
      <c r="I31" s="16" t="s">
        <v>228</v>
      </c>
      <c r="J31" s="6" t="s">
        <v>592</v>
      </c>
    </row>
    <row r="32" spans="1:10" ht="15" customHeight="1">
      <c r="A32" s="5" t="s">
        <v>620</v>
      </c>
      <c r="B32" s="16" t="s">
        <v>46</v>
      </c>
      <c r="C32" s="16" t="s">
        <v>163</v>
      </c>
      <c r="D32" s="16" t="s">
        <v>589</v>
      </c>
      <c r="E32" s="21">
        <v>4</v>
      </c>
      <c r="F32" s="21">
        <f>IFERROR(INDEX(competency_model!$F$2:$F$25,MATCH(C32,competency_model!$A$2:$A$25,0)),"")</f>
        <v>4</v>
      </c>
      <c r="G32" s="21">
        <f t="shared" si="0"/>
        <v>0</v>
      </c>
      <c r="H32" s="23">
        <v>46064</v>
      </c>
      <c r="I32" s="16" t="s">
        <v>222</v>
      </c>
      <c r="J32" s="6" t="s">
        <v>584</v>
      </c>
    </row>
    <row r="33" spans="1:10" ht="15" customHeight="1">
      <c r="A33" s="5" t="s">
        <v>621</v>
      </c>
      <c r="B33" s="16" t="s">
        <v>46</v>
      </c>
      <c r="C33" s="16" t="s">
        <v>163</v>
      </c>
      <c r="D33" s="16" t="s">
        <v>591</v>
      </c>
      <c r="E33" s="21">
        <v>4</v>
      </c>
      <c r="F33" s="21">
        <f>IFERROR(INDEX(competency_model!$F$2:$F$25,MATCH(C33,competency_model!$A$2:$A$25,0)),"")</f>
        <v>4</v>
      </c>
      <c r="G33" s="21">
        <f t="shared" si="0"/>
        <v>0</v>
      </c>
      <c r="H33" s="23">
        <v>46147</v>
      </c>
      <c r="I33" s="16" t="s">
        <v>225</v>
      </c>
      <c r="J33" s="6" t="s">
        <v>596</v>
      </c>
    </row>
    <row r="34" spans="1:10" ht="15" customHeight="1">
      <c r="A34" s="5" t="s">
        <v>622</v>
      </c>
      <c r="B34" s="16" t="s">
        <v>53</v>
      </c>
      <c r="C34" s="16" t="s">
        <v>197</v>
      </c>
      <c r="D34" s="16" t="s">
        <v>583</v>
      </c>
      <c r="E34" s="21">
        <v>1</v>
      </c>
      <c r="F34" s="21">
        <f>IFERROR(INDEX(competency_model!$F$2:$F$25,MATCH(C34,competency_model!$A$2:$A$25,0)),"")</f>
        <v>3</v>
      </c>
      <c r="G34" s="21">
        <f t="shared" si="0"/>
        <v>2</v>
      </c>
      <c r="H34" s="23">
        <v>45881</v>
      </c>
      <c r="I34" s="16" t="s">
        <v>228</v>
      </c>
      <c r="J34" s="6" t="s">
        <v>584</v>
      </c>
    </row>
    <row r="35" spans="1:10" ht="15" customHeight="1">
      <c r="A35" s="5" t="s">
        <v>623</v>
      </c>
      <c r="B35" s="16" t="s">
        <v>53</v>
      </c>
      <c r="C35" s="16" t="s">
        <v>197</v>
      </c>
      <c r="D35" s="16" t="s">
        <v>586</v>
      </c>
      <c r="E35" s="21">
        <v>1</v>
      </c>
      <c r="F35" s="21">
        <f>IFERROR(INDEX(competency_model!$F$2:$F$25,MATCH(C35,competency_model!$A$2:$A$25,0)),"")</f>
        <v>3</v>
      </c>
      <c r="G35" s="21">
        <f t="shared" si="0"/>
        <v>2</v>
      </c>
      <c r="H35" s="23">
        <v>45964</v>
      </c>
      <c r="I35" s="16" t="s">
        <v>225</v>
      </c>
      <c r="J35" s="6" t="s">
        <v>596</v>
      </c>
    </row>
    <row r="36" spans="1:10" ht="15" customHeight="1">
      <c r="A36" s="5" t="s">
        <v>624</v>
      </c>
      <c r="B36" s="16" t="s">
        <v>53</v>
      </c>
      <c r="C36" s="16" t="s">
        <v>197</v>
      </c>
      <c r="D36" s="16" t="s">
        <v>589</v>
      </c>
      <c r="E36" s="21">
        <v>1</v>
      </c>
      <c r="F36" s="21">
        <f>IFERROR(INDEX(competency_model!$F$2:$F$25,MATCH(C36,competency_model!$A$2:$A$25,0)),"")</f>
        <v>3</v>
      </c>
      <c r="G36" s="21">
        <f t="shared" si="0"/>
        <v>2</v>
      </c>
      <c r="H36" s="23">
        <v>46071</v>
      </c>
      <c r="I36" s="16" t="s">
        <v>228</v>
      </c>
      <c r="J36" s="6" t="s">
        <v>587</v>
      </c>
    </row>
    <row r="37" spans="1:10" ht="15" customHeight="1">
      <c r="A37" s="5" t="s">
        <v>625</v>
      </c>
      <c r="B37" s="16" t="s">
        <v>53</v>
      </c>
      <c r="C37" s="16" t="s">
        <v>197</v>
      </c>
      <c r="D37" s="16" t="s">
        <v>591</v>
      </c>
      <c r="E37" s="21">
        <v>3</v>
      </c>
      <c r="F37" s="21">
        <f>IFERROR(INDEX(competency_model!$F$2:$F$25,MATCH(C37,competency_model!$A$2:$A$25,0)),"")</f>
        <v>3</v>
      </c>
      <c r="G37" s="21">
        <f t="shared" si="0"/>
        <v>0</v>
      </c>
      <c r="H37" s="23">
        <v>46148</v>
      </c>
      <c r="I37" s="16" t="s">
        <v>222</v>
      </c>
      <c r="J37" s="6" t="s">
        <v>584</v>
      </c>
    </row>
    <row r="38" spans="1:10" ht="15" customHeight="1">
      <c r="A38" s="5" t="s">
        <v>626</v>
      </c>
      <c r="B38" s="16" t="s">
        <v>53</v>
      </c>
      <c r="C38" s="16" t="s">
        <v>149</v>
      </c>
      <c r="D38" s="16" t="s">
        <v>583</v>
      </c>
      <c r="E38" s="21">
        <v>1</v>
      </c>
      <c r="F38" s="21">
        <f>IFERROR(INDEX(competency_model!$F$2:$F$25,MATCH(C38,competency_model!$A$2:$A$25,0)),"")</f>
        <v>4</v>
      </c>
      <c r="G38" s="21">
        <f t="shared" si="0"/>
        <v>3</v>
      </c>
      <c r="H38" s="23">
        <v>45879</v>
      </c>
      <c r="I38" s="16" t="s">
        <v>222</v>
      </c>
      <c r="J38" s="6" t="s">
        <v>596</v>
      </c>
    </row>
    <row r="39" spans="1:10" ht="15" customHeight="1">
      <c r="A39" s="5" t="s">
        <v>627</v>
      </c>
      <c r="B39" s="16" t="s">
        <v>53</v>
      </c>
      <c r="C39" s="16" t="s">
        <v>149</v>
      </c>
      <c r="D39" s="16" t="s">
        <v>586</v>
      </c>
      <c r="E39" s="21">
        <v>2</v>
      </c>
      <c r="F39" s="21">
        <f>IFERROR(INDEX(competency_model!$F$2:$F$25,MATCH(C39,competency_model!$A$2:$A$25,0)),"")</f>
        <v>4</v>
      </c>
      <c r="G39" s="21">
        <f t="shared" si="0"/>
        <v>2</v>
      </c>
      <c r="H39" s="23">
        <v>45984</v>
      </c>
      <c r="I39" s="16" t="s">
        <v>228</v>
      </c>
      <c r="J39" s="6" t="s">
        <v>587</v>
      </c>
    </row>
    <row r="40" spans="1:10" ht="15" customHeight="1">
      <c r="A40" s="5" t="s">
        <v>628</v>
      </c>
      <c r="B40" s="16" t="s">
        <v>53</v>
      </c>
      <c r="C40" s="16" t="s">
        <v>149</v>
      </c>
      <c r="D40" s="16" t="s">
        <v>589</v>
      </c>
      <c r="E40" s="21">
        <v>3</v>
      </c>
      <c r="F40" s="21">
        <f>IFERROR(INDEX(competency_model!$F$2:$F$25,MATCH(C40,competency_model!$A$2:$A$25,0)),"")</f>
        <v>4</v>
      </c>
      <c r="G40" s="21">
        <f t="shared" si="0"/>
        <v>1</v>
      </c>
      <c r="H40" s="23">
        <v>46068</v>
      </c>
      <c r="I40" s="16" t="s">
        <v>225</v>
      </c>
      <c r="J40" s="6" t="s">
        <v>596</v>
      </c>
    </row>
    <row r="41" spans="1:10" ht="15" customHeight="1">
      <c r="A41" s="5" t="s">
        <v>629</v>
      </c>
      <c r="B41" s="16" t="s">
        <v>53</v>
      </c>
      <c r="C41" s="16" t="s">
        <v>149</v>
      </c>
      <c r="D41" s="16" t="s">
        <v>591</v>
      </c>
      <c r="E41" s="21">
        <v>3</v>
      </c>
      <c r="F41" s="21">
        <f>IFERROR(INDEX(competency_model!$F$2:$F$25,MATCH(C41,competency_model!$A$2:$A$25,0)),"")</f>
        <v>4</v>
      </c>
      <c r="G41" s="21">
        <f t="shared" si="0"/>
        <v>1</v>
      </c>
      <c r="H41" s="23">
        <v>46169</v>
      </c>
      <c r="I41" s="16" t="s">
        <v>225</v>
      </c>
      <c r="J41" s="6" t="s">
        <v>584</v>
      </c>
    </row>
    <row r="42" spans="1:10" ht="15" customHeight="1">
      <c r="A42" s="5" t="s">
        <v>630</v>
      </c>
      <c r="B42" s="16" t="s">
        <v>53</v>
      </c>
      <c r="C42" s="16" t="s">
        <v>189</v>
      </c>
      <c r="D42" s="16" t="s">
        <v>583</v>
      </c>
      <c r="E42" s="21">
        <v>1</v>
      </c>
      <c r="F42" s="21">
        <f>IFERROR(INDEX(competency_model!$F$2:$F$25,MATCH(C42,competency_model!$A$2:$A$25,0)),"")</f>
        <v>4</v>
      </c>
      <c r="G42" s="21">
        <f t="shared" si="0"/>
        <v>3</v>
      </c>
      <c r="H42" s="23">
        <v>45896</v>
      </c>
      <c r="I42" s="16" t="s">
        <v>228</v>
      </c>
      <c r="J42" s="6" t="s">
        <v>596</v>
      </c>
    </row>
    <row r="43" spans="1:10" ht="15" customHeight="1">
      <c r="A43" s="5" t="s">
        <v>631</v>
      </c>
      <c r="B43" s="16" t="s">
        <v>53</v>
      </c>
      <c r="C43" s="16" t="s">
        <v>189</v>
      </c>
      <c r="D43" s="16" t="s">
        <v>586</v>
      </c>
      <c r="E43" s="21">
        <v>2</v>
      </c>
      <c r="F43" s="21">
        <f>IFERROR(INDEX(competency_model!$F$2:$F$25,MATCH(C43,competency_model!$A$2:$A$25,0)),"")</f>
        <v>4</v>
      </c>
      <c r="G43" s="21">
        <f t="shared" si="0"/>
        <v>2</v>
      </c>
      <c r="H43" s="23">
        <v>45966</v>
      </c>
      <c r="I43" s="16" t="s">
        <v>228</v>
      </c>
      <c r="J43" s="6" t="s">
        <v>596</v>
      </c>
    </row>
    <row r="44" spans="1:10" ht="15" customHeight="1">
      <c r="A44" s="5" t="s">
        <v>632</v>
      </c>
      <c r="B44" s="16" t="s">
        <v>53</v>
      </c>
      <c r="C44" s="16" t="s">
        <v>189</v>
      </c>
      <c r="D44" s="16" t="s">
        <v>589</v>
      </c>
      <c r="E44" s="21">
        <v>2</v>
      </c>
      <c r="F44" s="21">
        <f>IFERROR(INDEX(competency_model!$F$2:$F$25,MATCH(C44,competency_model!$A$2:$A$25,0)),"")</f>
        <v>4</v>
      </c>
      <c r="G44" s="21">
        <f t="shared" si="0"/>
        <v>2</v>
      </c>
      <c r="H44" s="23">
        <v>46067</v>
      </c>
      <c r="I44" s="16" t="s">
        <v>228</v>
      </c>
      <c r="J44" s="6" t="s">
        <v>596</v>
      </c>
    </row>
    <row r="45" spans="1:10" ht="15" customHeight="1">
      <c r="A45" s="5" t="s">
        <v>633</v>
      </c>
      <c r="B45" s="16" t="s">
        <v>53</v>
      </c>
      <c r="C45" s="16" t="s">
        <v>189</v>
      </c>
      <c r="D45" s="16" t="s">
        <v>591</v>
      </c>
      <c r="E45" s="21">
        <v>3</v>
      </c>
      <c r="F45" s="21">
        <f>IFERROR(INDEX(competency_model!$F$2:$F$25,MATCH(C45,competency_model!$A$2:$A$25,0)),"")</f>
        <v>4</v>
      </c>
      <c r="G45" s="21">
        <f t="shared" si="0"/>
        <v>1</v>
      </c>
      <c r="H45" s="23">
        <v>46160</v>
      </c>
      <c r="I45" s="16" t="s">
        <v>228</v>
      </c>
      <c r="J45" s="6" t="s">
        <v>596</v>
      </c>
    </row>
    <row r="46" spans="1:10" ht="15" customHeight="1">
      <c r="A46" s="5" t="s">
        <v>634</v>
      </c>
      <c r="B46" s="16" t="s">
        <v>53</v>
      </c>
      <c r="C46" s="16" t="s">
        <v>151</v>
      </c>
      <c r="D46" s="16" t="s">
        <v>583</v>
      </c>
      <c r="E46" s="21">
        <v>1</v>
      </c>
      <c r="F46" s="21">
        <f>IFERROR(INDEX(competency_model!$F$2:$F$25,MATCH(C46,competency_model!$A$2:$A$25,0)),"")</f>
        <v>3</v>
      </c>
      <c r="G46" s="21">
        <f t="shared" si="0"/>
        <v>2</v>
      </c>
      <c r="H46" s="23">
        <v>45872</v>
      </c>
      <c r="I46" s="16" t="s">
        <v>222</v>
      </c>
      <c r="J46" s="6" t="s">
        <v>587</v>
      </c>
    </row>
    <row r="47" spans="1:10" ht="15" customHeight="1">
      <c r="A47" s="5" t="s">
        <v>635</v>
      </c>
      <c r="B47" s="16" t="s">
        <v>53</v>
      </c>
      <c r="C47" s="16" t="s">
        <v>151</v>
      </c>
      <c r="D47" s="16" t="s">
        <v>586</v>
      </c>
      <c r="E47" s="21">
        <v>1</v>
      </c>
      <c r="F47" s="21">
        <f>IFERROR(INDEX(competency_model!$F$2:$F$25,MATCH(C47,competency_model!$A$2:$A$25,0)),"")</f>
        <v>3</v>
      </c>
      <c r="G47" s="21">
        <f t="shared" si="0"/>
        <v>2</v>
      </c>
      <c r="H47" s="23">
        <v>45978</v>
      </c>
      <c r="I47" s="16" t="s">
        <v>222</v>
      </c>
      <c r="J47" s="6" t="s">
        <v>584</v>
      </c>
    </row>
    <row r="48" spans="1:10" ht="15" customHeight="1">
      <c r="A48" s="5" t="s">
        <v>636</v>
      </c>
      <c r="B48" s="16" t="s">
        <v>53</v>
      </c>
      <c r="C48" s="16" t="s">
        <v>151</v>
      </c>
      <c r="D48" s="16" t="s">
        <v>589</v>
      </c>
      <c r="E48" s="21">
        <v>1</v>
      </c>
      <c r="F48" s="21">
        <f>IFERROR(INDEX(competency_model!$F$2:$F$25,MATCH(C48,competency_model!$A$2:$A$25,0)),"")</f>
        <v>3</v>
      </c>
      <c r="G48" s="21">
        <f t="shared" si="0"/>
        <v>2</v>
      </c>
      <c r="H48" s="23">
        <v>46057</v>
      </c>
      <c r="I48" s="16" t="s">
        <v>228</v>
      </c>
      <c r="J48" s="6" t="s">
        <v>596</v>
      </c>
    </row>
    <row r="49" spans="1:10" ht="15" customHeight="1">
      <c r="A49" s="5" t="s">
        <v>637</v>
      </c>
      <c r="B49" s="16" t="s">
        <v>53</v>
      </c>
      <c r="C49" s="16" t="s">
        <v>151</v>
      </c>
      <c r="D49" s="16" t="s">
        <v>591</v>
      </c>
      <c r="E49" s="21">
        <v>3</v>
      </c>
      <c r="F49" s="21">
        <f>IFERROR(INDEX(competency_model!$F$2:$F$25,MATCH(C49,competency_model!$A$2:$A$25,0)),"")</f>
        <v>3</v>
      </c>
      <c r="G49" s="21">
        <f t="shared" si="0"/>
        <v>0</v>
      </c>
      <c r="H49" s="23">
        <v>46158</v>
      </c>
      <c r="I49" s="16" t="s">
        <v>228</v>
      </c>
      <c r="J49" s="6" t="s">
        <v>587</v>
      </c>
    </row>
    <row r="50" spans="1:10" ht="15" customHeight="1">
      <c r="A50" s="5" t="s">
        <v>638</v>
      </c>
      <c r="B50" s="16" t="s">
        <v>53</v>
      </c>
      <c r="C50" s="16" t="s">
        <v>160</v>
      </c>
      <c r="D50" s="16" t="s">
        <v>583</v>
      </c>
      <c r="E50" s="21">
        <v>2</v>
      </c>
      <c r="F50" s="21">
        <f>IFERROR(INDEX(competency_model!$F$2:$F$25,MATCH(C50,competency_model!$A$2:$A$25,0)),"")</f>
        <v>3</v>
      </c>
      <c r="G50" s="21">
        <f t="shared" si="0"/>
        <v>1</v>
      </c>
      <c r="H50" s="23">
        <v>45876</v>
      </c>
      <c r="I50" s="16" t="s">
        <v>228</v>
      </c>
      <c r="J50" s="6" t="s">
        <v>596</v>
      </c>
    </row>
    <row r="51" spans="1:10" ht="15" customHeight="1">
      <c r="A51" s="5" t="s">
        <v>639</v>
      </c>
      <c r="B51" s="16" t="s">
        <v>53</v>
      </c>
      <c r="C51" s="16" t="s">
        <v>160</v>
      </c>
      <c r="D51" s="16" t="s">
        <v>586</v>
      </c>
      <c r="E51" s="21">
        <v>3</v>
      </c>
      <c r="F51" s="21">
        <f>IFERROR(INDEX(competency_model!$F$2:$F$25,MATCH(C51,competency_model!$A$2:$A$25,0)),"")</f>
        <v>3</v>
      </c>
      <c r="G51" s="21">
        <f t="shared" si="0"/>
        <v>0</v>
      </c>
      <c r="H51" s="23">
        <v>45987</v>
      </c>
      <c r="I51" s="16" t="s">
        <v>222</v>
      </c>
      <c r="J51" s="6" t="s">
        <v>587</v>
      </c>
    </row>
    <row r="52" spans="1:10" ht="15" customHeight="1">
      <c r="A52" s="5" t="s">
        <v>640</v>
      </c>
      <c r="B52" s="16" t="s">
        <v>53</v>
      </c>
      <c r="C52" s="16" t="s">
        <v>160</v>
      </c>
      <c r="D52" s="16" t="s">
        <v>589</v>
      </c>
      <c r="E52" s="21">
        <v>4</v>
      </c>
      <c r="F52" s="21">
        <f>IFERROR(INDEX(competency_model!$F$2:$F$25,MATCH(C52,competency_model!$A$2:$A$25,0)),"")</f>
        <v>3</v>
      </c>
      <c r="G52" s="21">
        <f t="shared" si="0"/>
        <v>0</v>
      </c>
      <c r="H52" s="23">
        <v>46077</v>
      </c>
      <c r="I52" s="16" t="s">
        <v>228</v>
      </c>
      <c r="J52" s="6" t="s">
        <v>596</v>
      </c>
    </row>
    <row r="53" spans="1:10" ht="15" customHeight="1">
      <c r="A53" s="5" t="s">
        <v>641</v>
      </c>
      <c r="B53" s="16" t="s">
        <v>53</v>
      </c>
      <c r="C53" s="16" t="s">
        <v>160</v>
      </c>
      <c r="D53" s="16" t="s">
        <v>591</v>
      </c>
      <c r="E53" s="21">
        <v>4</v>
      </c>
      <c r="F53" s="21">
        <f>IFERROR(INDEX(competency_model!$F$2:$F$25,MATCH(C53,competency_model!$A$2:$A$25,0)),"")</f>
        <v>3</v>
      </c>
      <c r="G53" s="21">
        <f t="shared" si="0"/>
        <v>0</v>
      </c>
      <c r="H53" s="23">
        <v>46157</v>
      </c>
      <c r="I53" s="16" t="s">
        <v>222</v>
      </c>
      <c r="J53" s="6" t="s">
        <v>584</v>
      </c>
    </row>
    <row r="54" spans="1:10" ht="15" customHeight="1">
      <c r="A54" s="5" t="s">
        <v>642</v>
      </c>
      <c r="B54" s="16" t="s">
        <v>53</v>
      </c>
      <c r="C54" s="16" t="s">
        <v>202</v>
      </c>
      <c r="D54" s="16" t="s">
        <v>583</v>
      </c>
      <c r="E54" s="21">
        <v>1</v>
      </c>
      <c r="F54" s="21">
        <f>IFERROR(INDEX(competency_model!$F$2:$F$25,MATCH(C54,competency_model!$A$2:$A$25,0)),"")</f>
        <v>3</v>
      </c>
      <c r="G54" s="21">
        <f t="shared" si="0"/>
        <v>2</v>
      </c>
      <c r="H54" s="23">
        <v>45872</v>
      </c>
      <c r="I54" s="16" t="s">
        <v>225</v>
      </c>
      <c r="J54" s="6" t="s">
        <v>584</v>
      </c>
    </row>
    <row r="55" spans="1:10" ht="15" customHeight="1">
      <c r="A55" s="5" t="s">
        <v>643</v>
      </c>
      <c r="B55" s="16" t="s">
        <v>53</v>
      </c>
      <c r="C55" s="16" t="s">
        <v>202</v>
      </c>
      <c r="D55" s="16" t="s">
        <v>586</v>
      </c>
      <c r="E55" s="21">
        <v>2</v>
      </c>
      <c r="F55" s="21">
        <f>IFERROR(INDEX(competency_model!$F$2:$F$25,MATCH(C55,competency_model!$A$2:$A$25,0)),"")</f>
        <v>3</v>
      </c>
      <c r="G55" s="21">
        <f t="shared" si="0"/>
        <v>1</v>
      </c>
      <c r="H55" s="23">
        <v>45974</v>
      </c>
      <c r="I55" s="16" t="s">
        <v>222</v>
      </c>
      <c r="J55" s="6" t="s">
        <v>587</v>
      </c>
    </row>
    <row r="56" spans="1:10" ht="15" customHeight="1">
      <c r="A56" s="5" t="s">
        <v>644</v>
      </c>
      <c r="B56" s="16" t="s">
        <v>53</v>
      </c>
      <c r="C56" s="16" t="s">
        <v>202</v>
      </c>
      <c r="D56" s="16" t="s">
        <v>589</v>
      </c>
      <c r="E56" s="21">
        <v>3</v>
      </c>
      <c r="F56" s="21">
        <f>IFERROR(INDEX(competency_model!$F$2:$F$25,MATCH(C56,competency_model!$A$2:$A$25,0)),"")</f>
        <v>3</v>
      </c>
      <c r="G56" s="21">
        <f t="shared" si="0"/>
        <v>0</v>
      </c>
      <c r="H56" s="23">
        <v>46060</v>
      </c>
      <c r="I56" s="16" t="s">
        <v>228</v>
      </c>
      <c r="J56" s="6" t="s">
        <v>584</v>
      </c>
    </row>
    <row r="57" spans="1:10" ht="15" customHeight="1">
      <c r="A57" s="5" t="s">
        <v>645</v>
      </c>
      <c r="B57" s="16" t="s">
        <v>53</v>
      </c>
      <c r="C57" s="16" t="s">
        <v>202</v>
      </c>
      <c r="D57" s="16" t="s">
        <v>591</v>
      </c>
      <c r="E57" s="21">
        <v>4</v>
      </c>
      <c r="F57" s="21">
        <f>IFERROR(INDEX(competency_model!$F$2:$F$25,MATCH(C57,competency_model!$A$2:$A$25,0)),"")</f>
        <v>3</v>
      </c>
      <c r="G57" s="21">
        <f t="shared" si="0"/>
        <v>0</v>
      </c>
      <c r="H57" s="23">
        <v>46152</v>
      </c>
      <c r="I57" s="16" t="s">
        <v>222</v>
      </c>
      <c r="J57" s="6" t="s">
        <v>596</v>
      </c>
    </row>
    <row r="58" spans="1:10" ht="15" customHeight="1">
      <c r="A58" s="5" t="s">
        <v>646</v>
      </c>
      <c r="B58" s="16" t="s">
        <v>53</v>
      </c>
      <c r="C58" s="16" t="s">
        <v>157</v>
      </c>
      <c r="D58" s="16" t="s">
        <v>583</v>
      </c>
      <c r="E58" s="21">
        <v>1</v>
      </c>
      <c r="F58" s="21">
        <f>IFERROR(INDEX(competency_model!$F$2:$F$25,MATCH(C58,competency_model!$A$2:$A$25,0)),"")</f>
        <v>3</v>
      </c>
      <c r="G58" s="21">
        <f t="shared" si="0"/>
        <v>2</v>
      </c>
      <c r="H58" s="23">
        <v>45889</v>
      </c>
      <c r="I58" s="16" t="s">
        <v>228</v>
      </c>
      <c r="J58" s="6" t="s">
        <v>596</v>
      </c>
    </row>
    <row r="59" spans="1:10" ht="15" customHeight="1">
      <c r="A59" s="5" t="s">
        <v>647</v>
      </c>
      <c r="B59" s="16" t="s">
        <v>53</v>
      </c>
      <c r="C59" s="16" t="s">
        <v>157</v>
      </c>
      <c r="D59" s="16" t="s">
        <v>586</v>
      </c>
      <c r="E59" s="21">
        <v>2</v>
      </c>
      <c r="F59" s="21">
        <f>IFERROR(INDEX(competency_model!$F$2:$F$25,MATCH(C59,competency_model!$A$2:$A$25,0)),"")</f>
        <v>3</v>
      </c>
      <c r="G59" s="21">
        <f t="shared" si="0"/>
        <v>1</v>
      </c>
      <c r="H59" s="23">
        <v>45985</v>
      </c>
      <c r="I59" s="16" t="s">
        <v>228</v>
      </c>
      <c r="J59" s="6" t="s">
        <v>584</v>
      </c>
    </row>
    <row r="60" spans="1:10" ht="15" customHeight="1">
      <c r="A60" s="5" t="s">
        <v>648</v>
      </c>
      <c r="B60" s="16" t="s">
        <v>53</v>
      </c>
      <c r="C60" s="16" t="s">
        <v>157</v>
      </c>
      <c r="D60" s="16" t="s">
        <v>589</v>
      </c>
      <c r="E60" s="21">
        <v>2</v>
      </c>
      <c r="F60" s="21">
        <f>IFERROR(INDEX(competency_model!$F$2:$F$25,MATCH(C60,competency_model!$A$2:$A$25,0)),"")</f>
        <v>3</v>
      </c>
      <c r="G60" s="21">
        <f t="shared" si="0"/>
        <v>1</v>
      </c>
      <c r="H60" s="23">
        <v>46075</v>
      </c>
      <c r="I60" s="16" t="s">
        <v>225</v>
      </c>
      <c r="J60" s="6" t="s">
        <v>584</v>
      </c>
    </row>
    <row r="61" spans="1:10" ht="15" customHeight="1">
      <c r="A61" s="5" t="s">
        <v>649</v>
      </c>
      <c r="B61" s="16" t="s">
        <v>53</v>
      </c>
      <c r="C61" s="16" t="s">
        <v>157</v>
      </c>
      <c r="D61" s="16" t="s">
        <v>591</v>
      </c>
      <c r="E61" s="21">
        <v>3</v>
      </c>
      <c r="F61" s="21">
        <f>IFERROR(INDEX(competency_model!$F$2:$F$25,MATCH(C61,competency_model!$A$2:$A$25,0)),"")</f>
        <v>3</v>
      </c>
      <c r="G61" s="21">
        <f t="shared" si="0"/>
        <v>0</v>
      </c>
      <c r="H61" s="23">
        <v>46160</v>
      </c>
      <c r="I61" s="16" t="s">
        <v>228</v>
      </c>
      <c r="J61" s="6" t="s">
        <v>584</v>
      </c>
    </row>
    <row r="62" spans="1:10" ht="15" customHeight="1">
      <c r="A62" s="5" t="s">
        <v>650</v>
      </c>
      <c r="B62" s="16" t="s">
        <v>53</v>
      </c>
      <c r="C62" s="16" t="s">
        <v>144</v>
      </c>
      <c r="D62" s="16" t="s">
        <v>583</v>
      </c>
      <c r="E62" s="21">
        <v>1</v>
      </c>
      <c r="F62" s="21">
        <f>IFERROR(INDEX(competency_model!$F$2:$F$25,MATCH(C62,competency_model!$A$2:$A$25,0)),"")</f>
        <v>4</v>
      </c>
      <c r="G62" s="21">
        <f t="shared" si="0"/>
        <v>3</v>
      </c>
      <c r="H62" s="23">
        <v>45895</v>
      </c>
      <c r="I62" s="16" t="s">
        <v>222</v>
      </c>
      <c r="J62" s="6" t="s">
        <v>596</v>
      </c>
    </row>
    <row r="63" spans="1:10" ht="15" customHeight="1">
      <c r="A63" s="5" t="s">
        <v>651</v>
      </c>
      <c r="B63" s="16" t="s">
        <v>53</v>
      </c>
      <c r="C63" s="16" t="s">
        <v>144</v>
      </c>
      <c r="D63" s="16" t="s">
        <v>586</v>
      </c>
      <c r="E63" s="21">
        <v>1</v>
      </c>
      <c r="F63" s="21">
        <f>IFERROR(INDEX(competency_model!$F$2:$F$25,MATCH(C63,competency_model!$A$2:$A$25,0)),"")</f>
        <v>4</v>
      </c>
      <c r="G63" s="21">
        <f t="shared" si="0"/>
        <v>3</v>
      </c>
      <c r="H63" s="23">
        <v>45971</v>
      </c>
      <c r="I63" s="16" t="s">
        <v>228</v>
      </c>
      <c r="J63" s="6" t="s">
        <v>592</v>
      </c>
    </row>
    <row r="64" spans="1:10" ht="15" customHeight="1">
      <c r="A64" s="5" t="s">
        <v>652</v>
      </c>
      <c r="B64" s="16" t="s">
        <v>53</v>
      </c>
      <c r="C64" s="16" t="s">
        <v>144</v>
      </c>
      <c r="D64" s="16" t="s">
        <v>589</v>
      </c>
      <c r="E64" s="21">
        <v>3</v>
      </c>
      <c r="F64" s="21">
        <f>IFERROR(INDEX(competency_model!$F$2:$F$25,MATCH(C64,competency_model!$A$2:$A$25,0)),"")</f>
        <v>4</v>
      </c>
      <c r="G64" s="21">
        <f t="shared" si="0"/>
        <v>1</v>
      </c>
      <c r="H64" s="23">
        <v>46078</v>
      </c>
      <c r="I64" s="16" t="s">
        <v>228</v>
      </c>
      <c r="J64" s="6" t="s">
        <v>596</v>
      </c>
    </row>
    <row r="65" spans="1:10" ht="15" customHeight="1">
      <c r="A65" s="5" t="s">
        <v>653</v>
      </c>
      <c r="B65" s="16" t="s">
        <v>53</v>
      </c>
      <c r="C65" s="16" t="s">
        <v>144</v>
      </c>
      <c r="D65" s="16" t="s">
        <v>591</v>
      </c>
      <c r="E65" s="21">
        <v>3</v>
      </c>
      <c r="F65" s="21">
        <f>IFERROR(INDEX(competency_model!$F$2:$F$25,MATCH(C65,competency_model!$A$2:$A$25,0)),"")</f>
        <v>4</v>
      </c>
      <c r="G65" s="21">
        <f t="shared" si="0"/>
        <v>1</v>
      </c>
      <c r="H65" s="23">
        <v>46167</v>
      </c>
      <c r="I65" s="16" t="s">
        <v>225</v>
      </c>
      <c r="J65" s="6" t="s">
        <v>592</v>
      </c>
    </row>
    <row r="66" spans="1:10" ht="15" customHeight="1">
      <c r="A66" s="5" t="s">
        <v>654</v>
      </c>
      <c r="B66" s="16" t="s">
        <v>58</v>
      </c>
      <c r="C66" s="16" t="s">
        <v>175</v>
      </c>
      <c r="D66" s="16" t="s">
        <v>583</v>
      </c>
      <c r="E66" s="21">
        <v>2</v>
      </c>
      <c r="F66" s="21">
        <f>IFERROR(INDEX(competency_model!$F$2:$F$25,MATCH(C66,competency_model!$A$2:$A$25,0)),"")</f>
        <v>4</v>
      </c>
      <c r="G66" s="21">
        <f t="shared" ref="G66:G129" si="1">MAX(0,F66-E66)</f>
        <v>2</v>
      </c>
      <c r="H66" s="23">
        <v>45889</v>
      </c>
      <c r="I66" s="16" t="s">
        <v>228</v>
      </c>
      <c r="J66" s="6" t="s">
        <v>592</v>
      </c>
    </row>
    <row r="67" spans="1:10" ht="15" customHeight="1">
      <c r="A67" s="5" t="s">
        <v>655</v>
      </c>
      <c r="B67" s="16" t="s">
        <v>58</v>
      </c>
      <c r="C67" s="16" t="s">
        <v>175</v>
      </c>
      <c r="D67" s="16" t="s">
        <v>586</v>
      </c>
      <c r="E67" s="21">
        <v>3</v>
      </c>
      <c r="F67" s="21">
        <f>IFERROR(INDEX(competency_model!$F$2:$F$25,MATCH(C67,competency_model!$A$2:$A$25,0)),"")</f>
        <v>4</v>
      </c>
      <c r="G67" s="21">
        <f t="shared" si="1"/>
        <v>1</v>
      </c>
      <c r="H67" s="23">
        <v>45986</v>
      </c>
      <c r="I67" s="16" t="s">
        <v>228</v>
      </c>
      <c r="J67" s="6" t="s">
        <v>596</v>
      </c>
    </row>
    <row r="68" spans="1:10" ht="15" customHeight="1">
      <c r="A68" s="5" t="s">
        <v>656</v>
      </c>
      <c r="B68" s="16" t="s">
        <v>58</v>
      </c>
      <c r="C68" s="16" t="s">
        <v>175</v>
      </c>
      <c r="D68" s="16" t="s">
        <v>589</v>
      </c>
      <c r="E68" s="21">
        <v>4</v>
      </c>
      <c r="F68" s="21">
        <f>IFERROR(INDEX(competency_model!$F$2:$F$25,MATCH(C68,competency_model!$A$2:$A$25,0)),"")</f>
        <v>4</v>
      </c>
      <c r="G68" s="21">
        <f t="shared" si="1"/>
        <v>0</v>
      </c>
      <c r="H68" s="23">
        <v>46080</v>
      </c>
      <c r="I68" s="16" t="s">
        <v>225</v>
      </c>
      <c r="J68" s="6" t="s">
        <v>587</v>
      </c>
    </row>
    <row r="69" spans="1:10" ht="15" customHeight="1">
      <c r="A69" s="5" t="s">
        <v>657</v>
      </c>
      <c r="B69" s="16" t="s">
        <v>58</v>
      </c>
      <c r="C69" s="16" t="s">
        <v>175</v>
      </c>
      <c r="D69" s="16" t="s">
        <v>591</v>
      </c>
      <c r="E69" s="21">
        <v>5</v>
      </c>
      <c r="F69" s="21">
        <f>IFERROR(INDEX(competency_model!$F$2:$F$25,MATCH(C69,competency_model!$A$2:$A$25,0)),"")</f>
        <v>4</v>
      </c>
      <c r="G69" s="21">
        <f t="shared" si="1"/>
        <v>0</v>
      </c>
      <c r="H69" s="23">
        <v>46145</v>
      </c>
      <c r="I69" s="16" t="s">
        <v>228</v>
      </c>
      <c r="J69" s="6" t="s">
        <v>587</v>
      </c>
    </row>
    <row r="70" spans="1:10" ht="15" customHeight="1">
      <c r="A70" s="5" t="s">
        <v>658</v>
      </c>
      <c r="B70" s="16" t="s">
        <v>58</v>
      </c>
      <c r="C70" s="16" t="s">
        <v>163</v>
      </c>
      <c r="D70" s="16" t="s">
        <v>583</v>
      </c>
      <c r="E70" s="21">
        <v>2</v>
      </c>
      <c r="F70" s="21">
        <f>IFERROR(INDEX(competency_model!$F$2:$F$25,MATCH(C70,competency_model!$A$2:$A$25,0)),"")</f>
        <v>4</v>
      </c>
      <c r="G70" s="21">
        <f t="shared" si="1"/>
        <v>2</v>
      </c>
      <c r="H70" s="23">
        <v>45896</v>
      </c>
      <c r="I70" s="16" t="s">
        <v>228</v>
      </c>
      <c r="J70" s="6" t="s">
        <v>587</v>
      </c>
    </row>
    <row r="71" spans="1:10" ht="15" customHeight="1">
      <c r="A71" s="5" t="s">
        <v>659</v>
      </c>
      <c r="B71" s="16" t="s">
        <v>58</v>
      </c>
      <c r="C71" s="16" t="s">
        <v>163</v>
      </c>
      <c r="D71" s="16" t="s">
        <v>586</v>
      </c>
      <c r="E71" s="21">
        <v>4</v>
      </c>
      <c r="F71" s="21">
        <f>IFERROR(INDEX(competency_model!$F$2:$F$25,MATCH(C71,competency_model!$A$2:$A$25,0)),"")</f>
        <v>4</v>
      </c>
      <c r="G71" s="21">
        <f t="shared" si="1"/>
        <v>0</v>
      </c>
      <c r="H71" s="23">
        <v>45983</v>
      </c>
      <c r="I71" s="16" t="s">
        <v>228</v>
      </c>
      <c r="J71" s="6" t="s">
        <v>587</v>
      </c>
    </row>
    <row r="72" spans="1:10" ht="15" customHeight="1">
      <c r="A72" s="5" t="s">
        <v>660</v>
      </c>
      <c r="B72" s="16" t="s">
        <v>58</v>
      </c>
      <c r="C72" s="16" t="s">
        <v>163</v>
      </c>
      <c r="D72" s="16" t="s">
        <v>589</v>
      </c>
      <c r="E72" s="21">
        <v>5</v>
      </c>
      <c r="F72" s="21">
        <f>IFERROR(INDEX(competency_model!$F$2:$F$25,MATCH(C72,competency_model!$A$2:$A$25,0)),"")</f>
        <v>4</v>
      </c>
      <c r="G72" s="21">
        <f t="shared" si="1"/>
        <v>0</v>
      </c>
      <c r="H72" s="23">
        <v>46064</v>
      </c>
      <c r="I72" s="16" t="s">
        <v>225</v>
      </c>
      <c r="J72" s="6" t="s">
        <v>596</v>
      </c>
    </row>
    <row r="73" spans="1:10" ht="15" customHeight="1">
      <c r="A73" s="5" t="s">
        <v>661</v>
      </c>
      <c r="B73" s="16" t="s">
        <v>58</v>
      </c>
      <c r="C73" s="16" t="s">
        <v>163</v>
      </c>
      <c r="D73" s="16" t="s">
        <v>591</v>
      </c>
      <c r="E73" s="21">
        <v>5</v>
      </c>
      <c r="F73" s="21">
        <f>IFERROR(INDEX(competency_model!$F$2:$F$25,MATCH(C73,competency_model!$A$2:$A$25,0)),"")</f>
        <v>4</v>
      </c>
      <c r="G73" s="21">
        <f t="shared" si="1"/>
        <v>0</v>
      </c>
      <c r="H73" s="23">
        <v>46150</v>
      </c>
      <c r="I73" s="16" t="s">
        <v>228</v>
      </c>
      <c r="J73" s="6" t="s">
        <v>596</v>
      </c>
    </row>
    <row r="74" spans="1:10" ht="15" customHeight="1">
      <c r="A74" s="5" t="s">
        <v>662</v>
      </c>
      <c r="B74" s="16" t="s">
        <v>58</v>
      </c>
      <c r="C74" s="16" t="s">
        <v>181</v>
      </c>
      <c r="D74" s="16" t="s">
        <v>583</v>
      </c>
      <c r="E74" s="21">
        <v>1</v>
      </c>
      <c r="F74" s="21">
        <f>IFERROR(INDEX(competency_model!$F$2:$F$25,MATCH(C74,competency_model!$A$2:$A$25,0)),"")</f>
        <v>3</v>
      </c>
      <c r="G74" s="21">
        <f t="shared" si="1"/>
        <v>2</v>
      </c>
      <c r="H74" s="23">
        <v>45890</v>
      </c>
      <c r="I74" s="16" t="s">
        <v>228</v>
      </c>
      <c r="J74" s="6" t="s">
        <v>592</v>
      </c>
    </row>
    <row r="75" spans="1:10" ht="15" customHeight="1">
      <c r="A75" s="5" t="s">
        <v>663</v>
      </c>
      <c r="B75" s="16" t="s">
        <v>58</v>
      </c>
      <c r="C75" s="16" t="s">
        <v>181</v>
      </c>
      <c r="D75" s="16" t="s">
        <v>586</v>
      </c>
      <c r="E75" s="21">
        <v>1</v>
      </c>
      <c r="F75" s="21">
        <f>IFERROR(INDEX(competency_model!$F$2:$F$25,MATCH(C75,competency_model!$A$2:$A$25,0)),"")</f>
        <v>3</v>
      </c>
      <c r="G75" s="21">
        <f t="shared" si="1"/>
        <v>2</v>
      </c>
      <c r="H75" s="23">
        <v>45983</v>
      </c>
      <c r="I75" s="16" t="s">
        <v>225</v>
      </c>
      <c r="J75" s="6" t="s">
        <v>587</v>
      </c>
    </row>
    <row r="76" spans="1:10" ht="15" customHeight="1">
      <c r="A76" s="5" t="s">
        <v>664</v>
      </c>
      <c r="B76" s="16" t="s">
        <v>58</v>
      </c>
      <c r="C76" s="16" t="s">
        <v>181</v>
      </c>
      <c r="D76" s="16" t="s">
        <v>589</v>
      </c>
      <c r="E76" s="21">
        <v>2</v>
      </c>
      <c r="F76" s="21">
        <f>IFERROR(INDEX(competency_model!$F$2:$F$25,MATCH(C76,competency_model!$A$2:$A$25,0)),"")</f>
        <v>3</v>
      </c>
      <c r="G76" s="21">
        <f t="shared" si="1"/>
        <v>1</v>
      </c>
      <c r="H76" s="23">
        <v>46061</v>
      </c>
      <c r="I76" s="16" t="s">
        <v>225</v>
      </c>
      <c r="J76" s="6" t="s">
        <v>584</v>
      </c>
    </row>
    <row r="77" spans="1:10" ht="15" customHeight="1">
      <c r="A77" s="5" t="s">
        <v>665</v>
      </c>
      <c r="B77" s="16" t="s">
        <v>58</v>
      </c>
      <c r="C77" s="16" t="s">
        <v>181</v>
      </c>
      <c r="D77" s="16" t="s">
        <v>591</v>
      </c>
      <c r="E77" s="21">
        <v>3</v>
      </c>
      <c r="F77" s="21">
        <f>IFERROR(INDEX(competency_model!$F$2:$F$25,MATCH(C77,competency_model!$A$2:$A$25,0)),"")</f>
        <v>3</v>
      </c>
      <c r="G77" s="21">
        <f t="shared" si="1"/>
        <v>0</v>
      </c>
      <c r="H77" s="23">
        <v>46166</v>
      </c>
      <c r="I77" s="16" t="s">
        <v>228</v>
      </c>
      <c r="J77" s="6" t="s">
        <v>596</v>
      </c>
    </row>
    <row r="78" spans="1:10" ht="15" customHeight="1">
      <c r="A78" s="5" t="s">
        <v>666</v>
      </c>
      <c r="B78" s="16" t="s">
        <v>58</v>
      </c>
      <c r="C78" s="16" t="s">
        <v>206</v>
      </c>
      <c r="D78" s="16" t="s">
        <v>583</v>
      </c>
      <c r="E78" s="21">
        <v>1</v>
      </c>
      <c r="F78" s="21">
        <f>IFERROR(INDEX(competency_model!$F$2:$F$25,MATCH(C78,competency_model!$A$2:$A$25,0)),"")</f>
        <v>3</v>
      </c>
      <c r="G78" s="21">
        <f t="shared" si="1"/>
        <v>2</v>
      </c>
      <c r="H78" s="23">
        <v>45887</v>
      </c>
      <c r="I78" s="16" t="s">
        <v>228</v>
      </c>
      <c r="J78" s="6" t="s">
        <v>596</v>
      </c>
    </row>
    <row r="79" spans="1:10" ht="15" customHeight="1">
      <c r="A79" s="5" t="s">
        <v>667</v>
      </c>
      <c r="B79" s="16" t="s">
        <v>58</v>
      </c>
      <c r="C79" s="16" t="s">
        <v>206</v>
      </c>
      <c r="D79" s="16" t="s">
        <v>586</v>
      </c>
      <c r="E79" s="21">
        <v>1</v>
      </c>
      <c r="F79" s="21">
        <f>IFERROR(INDEX(competency_model!$F$2:$F$25,MATCH(C79,competency_model!$A$2:$A$25,0)),"")</f>
        <v>3</v>
      </c>
      <c r="G79" s="21">
        <f t="shared" si="1"/>
        <v>2</v>
      </c>
      <c r="H79" s="23">
        <v>45971</v>
      </c>
      <c r="I79" s="16" t="s">
        <v>228</v>
      </c>
      <c r="J79" s="6" t="s">
        <v>587</v>
      </c>
    </row>
    <row r="80" spans="1:10" ht="15" customHeight="1">
      <c r="A80" s="5" t="s">
        <v>668</v>
      </c>
      <c r="B80" s="16" t="s">
        <v>58</v>
      </c>
      <c r="C80" s="16" t="s">
        <v>206</v>
      </c>
      <c r="D80" s="16" t="s">
        <v>589</v>
      </c>
      <c r="E80" s="21">
        <v>2</v>
      </c>
      <c r="F80" s="21">
        <f>IFERROR(INDEX(competency_model!$F$2:$F$25,MATCH(C80,competency_model!$A$2:$A$25,0)),"")</f>
        <v>3</v>
      </c>
      <c r="G80" s="21">
        <f t="shared" si="1"/>
        <v>1</v>
      </c>
      <c r="H80" s="23">
        <v>46067</v>
      </c>
      <c r="I80" s="16" t="s">
        <v>222</v>
      </c>
      <c r="J80" s="6" t="s">
        <v>596</v>
      </c>
    </row>
    <row r="81" spans="1:10" ht="15" customHeight="1">
      <c r="A81" s="5" t="s">
        <v>669</v>
      </c>
      <c r="B81" s="16" t="s">
        <v>58</v>
      </c>
      <c r="C81" s="16" t="s">
        <v>206</v>
      </c>
      <c r="D81" s="16" t="s">
        <v>591</v>
      </c>
      <c r="E81" s="21">
        <v>3</v>
      </c>
      <c r="F81" s="21">
        <f>IFERROR(INDEX(competency_model!$F$2:$F$25,MATCH(C81,competency_model!$A$2:$A$25,0)),"")</f>
        <v>3</v>
      </c>
      <c r="G81" s="21">
        <f t="shared" si="1"/>
        <v>0</v>
      </c>
      <c r="H81" s="23">
        <v>46152</v>
      </c>
      <c r="I81" s="16" t="s">
        <v>222</v>
      </c>
      <c r="J81" s="6" t="s">
        <v>592</v>
      </c>
    </row>
    <row r="82" spans="1:10" ht="15" customHeight="1">
      <c r="A82" s="5" t="s">
        <v>670</v>
      </c>
      <c r="B82" s="16" t="s">
        <v>58</v>
      </c>
      <c r="C82" s="16" t="s">
        <v>197</v>
      </c>
      <c r="D82" s="16" t="s">
        <v>583</v>
      </c>
      <c r="E82" s="21">
        <v>1</v>
      </c>
      <c r="F82" s="21">
        <f>IFERROR(INDEX(competency_model!$F$2:$F$25,MATCH(C82,competency_model!$A$2:$A$25,0)),"")</f>
        <v>3</v>
      </c>
      <c r="G82" s="21">
        <f t="shared" si="1"/>
        <v>2</v>
      </c>
      <c r="H82" s="23">
        <v>45893</v>
      </c>
      <c r="I82" s="16" t="s">
        <v>222</v>
      </c>
      <c r="J82" s="6" t="s">
        <v>596</v>
      </c>
    </row>
    <row r="83" spans="1:10" ht="15" customHeight="1">
      <c r="A83" s="5" t="s">
        <v>671</v>
      </c>
      <c r="B83" s="16" t="s">
        <v>58</v>
      </c>
      <c r="C83" s="16" t="s">
        <v>197</v>
      </c>
      <c r="D83" s="16" t="s">
        <v>586</v>
      </c>
      <c r="E83" s="21">
        <v>1</v>
      </c>
      <c r="F83" s="21">
        <f>IFERROR(INDEX(competency_model!$F$2:$F$25,MATCH(C83,competency_model!$A$2:$A$25,0)),"")</f>
        <v>3</v>
      </c>
      <c r="G83" s="21">
        <f t="shared" si="1"/>
        <v>2</v>
      </c>
      <c r="H83" s="23">
        <v>45988</v>
      </c>
      <c r="I83" s="16" t="s">
        <v>225</v>
      </c>
      <c r="J83" s="6" t="s">
        <v>596</v>
      </c>
    </row>
    <row r="84" spans="1:10" ht="15" customHeight="1">
      <c r="A84" s="5" t="s">
        <v>672</v>
      </c>
      <c r="B84" s="16" t="s">
        <v>58</v>
      </c>
      <c r="C84" s="16" t="s">
        <v>197</v>
      </c>
      <c r="D84" s="16" t="s">
        <v>589</v>
      </c>
      <c r="E84" s="21">
        <v>2</v>
      </c>
      <c r="F84" s="21">
        <f>IFERROR(INDEX(competency_model!$F$2:$F$25,MATCH(C84,competency_model!$A$2:$A$25,0)),"")</f>
        <v>3</v>
      </c>
      <c r="G84" s="21">
        <f t="shared" si="1"/>
        <v>1</v>
      </c>
      <c r="H84" s="23">
        <v>46063</v>
      </c>
      <c r="I84" s="16" t="s">
        <v>225</v>
      </c>
      <c r="J84" s="6" t="s">
        <v>587</v>
      </c>
    </row>
    <row r="85" spans="1:10" ht="15" customHeight="1">
      <c r="A85" s="5" t="s">
        <v>673</v>
      </c>
      <c r="B85" s="16" t="s">
        <v>58</v>
      </c>
      <c r="C85" s="16" t="s">
        <v>197</v>
      </c>
      <c r="D85" s="16" t="s">
        <v>591</v>
      </c>
      <c r="E85" s="21">
        <v>3</v>
      </c>
      <c r="F85" s="21">
        <f>IFERROR(INDEX(competency_model!$F$2:$F$25,MATCH(C85,competency_model!$A$2:$A$25,0)),"")</f>
        <v>3</v>
      </c>
      <c r="G85" s="21">
        <f t="shared" si="1"/>
        <v>0</v>
      </c>
      <c r="H85" s="23">
        <v>46160</v>
      </c>
      <c r="I85" s="16" t="s">
        <v>228</v>
      </c>
      <c r="J85" s="6" t="s">
        <v>584</v>
      </c>
    </row>
    <row r="86" spans="1:10" ht="15" customHeight="1">
      <c r="A86" s="5" t="s">
        <v>674</v>
      </c>
      <c r="B86" s="16" t="s">
        <v>58</v>
      </c>
      <c r="C86" s="16" t="s">
        <v>178</v>
      </c>
      <c r="D86" s="16" t="s">
        <v>583</v>
      </c>
      <c r="E86" s="21">
        <v>1</v>
      </c>
      <c r="F86" s="21">
        <f>IFERROR(INDEX(competency_model!$F$2:$F$25,MATCH(C86,competency_model!$A$2:$A$25,0)),"")</f>
        <v>3</v>
      </c>
      <c r="G86" s="21">
        <f t="shared" si="1"/>
        <v>2</v>
      </c>
      <c r="H86" s="23">
        <v>45896</v>
      </c>
      <c r="I86" s="16" t="s">
        <v>225</v>
      </c>
      <c r="J86" s="6" t="s">
        <v>587</v>
      </c>
    </row>
    <row r="87" spans="1:10" ht="15" customHeight="1">
      <c r="A87" s="5" t="s">
        <v>675</v>
      </c>
      <c r="B87" s="16" t="s">
        <v>58</v>
      </c>
      <c r="C87" s="16" t="s">
        <v>178</v>
      </c>
      <c r="D87" s="16" t="s">
        <v>586</v>
      </c>
      <c r="E87" s="21">
        <v>2</v>
      </c>
      <c r="F87" s="21">
        <f>IFERROR(INDEX(competency_model!$F$2:$F$25,MATCH(C87,competency_model!$A$2:$A$25,0)),"")</f>
        <v>3</v>
      </c>
      <c r="G87" s="21">
        <f t="shared" si="1"/>
        <v>1</v>
      </c>
      <c r="H87" s="23">
        <v>45983</v>
      </c>
      <c r="I87" s="16" t="s">
        <v>228</v>
      </c>
      <c r="J87" s="6" t="s">
        <v>596</v>
      </c>
    </row>
    <row r="88" spans="1:10" ht="15" customHeight="1">
      <c r="A88" s="5" t="s">
        <v>676</v>
      </c>
      <c r="B88" s="16" t="s">
        <v>58</v>
      </c>
      <c r="C88" s="16" t="s">
        <v>178</v>
      </c>
      <c r="D88" s="16" t="s">
        <v>589</v>
      </c>
      <c r="E88" s="21">
        <v>4</v>
      </c>
      <c r="F88" s="21">
        <f>IFERROR(INDEX(competency_model!$F$2:$F$25,MATCH(C88,competency_model!$A$2:$A$25,0)),"")</f>
        <v>3</v>
      </c>
      <c r="G88" s="21">
        <f t="shared" si="1"/>
        <v>0</v>
      </c>
      <c r="H88" s="23">
        <v>46061</v>
      </c>
      <c r="I88" s="16" t="s">
        <v>228</v>
      </c>
      <c r="J88" s="6" t="s">
        <v>596</v>
      </c>
    </row>
    <row r="89" spans="1:10" ht="15" customHeight="1">
      <c r="A89" s="5" t="s">
        <v>677</v>
      </c>
      <c r="B89" s="16" t="s">
        <v>58</v>
      </c>
      <c r="C89" s="16" t="s">
        <v>178</v>
      </c>
      <c r="D89" s="16" t="s">
        <v>591</v>
      </c>
      <c r="E89" s="21">
        <v>4</v>
      </c>
      <c r="F89" s="21">
        <f>IFERROR(INDEX(competency_model!$F$2:$F$25,MATCH(C89,competency_model!$A$2:$A$25,0)),"")</f>
        <v>3</v>
      </c>
      <c r="G89" s="21">
        <f t="shared" si="1"/>
        <v>0</v>
      </c>
      <c r="H89" s="23">
        <v>46156</v>
      </c>
      <c r="I89" s="16" t="s">
        <v>228</v>
      </c>
      <c r="J89" s="6" t="s">
        <v>587</v>
      </c>
    </row>
    <row r="90" spans="1:10" ht="15" customHeight="1">
      <c r="A90" s="5" t="s">
        <v>678</v>
      </c>
      <c r="B90" s="16" t="s">
        <v>58</v>
      </c>
      <c r="C90" s="16" t="s">
        <v>160</v>
      </c>
      <c r="D90" s="16" t="s">
        <v>583</v>
      </c>
      <c r="E90" s="21">
        <v>1</v>
      </c>
      <c r="F90" s="21">
        <f>IFERROR(INDEX(competency_model!$F$2:$F$25,MATCH(C90,competency_model!$A$2:$A$25,0)),"")</f>
        <v>3</v>
      </c>
      <c r="G90" s="21">
        <f t="shared" si="1"/>
        <v>2</v>
      </c>
      <c r="H90" s="23">
        <v>45887</v>
      </c>
      <c r="I90" s="16" t="s">
        <v>222</v>
      </c>
      <c r="J90" s="6" t="s">
        <v>596</v>
      </c>
    </row>
    <row r="91" spans="1:10" ht="15" customHeight="1">
      <c r="A91" s="5" t="s">
        <v>679</v>
      </c>
      <c r="B91" s="16" t="s">
        <v>58</v>
      </c>
      <c r="C91" s="16" t="s">
        <v>160</v>
      </c>
      <c r="D91" s="16" t="s">
        <v>586</v>
      </c>
      <c r="E91" s="21">
        <v>2</v>
      </c>
      <c r="F91" s="21">
        <f>IFERROR(INDEX(competency_model!$F$2:$F$25,MATCH(C91,competency_model!$A$2:$A$25,0)),"")</f>
        <v>3</v>
      </c>
      <c r="G91" s="21">
        <f t="shared" si="1"/>
        <v>1</v>
      </c>
      <c r="H91" s="23">
        <v>45979</v>
      </c>
      <c r="I91" s="16" t="s">
        <v>222</v>
      </c>
      <c r="J91" s="6" t="s">
        <v>587</v>
      </c>
    </row>
    <row r="92" spans="1:10" ht="15" customHeight="1">
      <c r="A92" s="5" t="s">
        <v>680</v>
      </c>
      <c r="B92" s="16" t="s">
        <v>58</v>
      </c>
      <c r="C92" s="16" t="s">
        <v>160</v>
      </c>
      <c r="D92" s="16" t="s">
        <v>589</v>
      </c>
      <c r="E92" s="21">
        <v>3</v>
      </c>
      <c r="F92" s="21">
        <f>IFERROR(INDEX(competency_model!$F$2:$F$25,MATCH(C92,competency_model!$A$2:$A$25,0)),"")</f>
        <v>3</v>
      </c>
      <c r="G92" s="21">
        <f t="shared" si="1"/>
        <v>0</v>
      </c>
      <c r="H92" s="23">
        <v>46076</v>
      </c>
      <c r="I92" s="16" t="s">
        <v>228</v>
      </c>
      <c r="J92" s="6" t="s">
        <v>592</v>
      </c>
    </row>
    <row r="93" spans="1:10" ht="15" customHeight="1">
      <c r="A93" s="5" t="s">
        <v>681</v>
      </c>
      <c r="B93" s="16" t="s">
        <v>58</v>
      </c>
      <c r="C93" s="16" t="s">
        <v>160</v>
      </c>
      <c r="D93" s="16" t="s">
        <v>591</v>
      </c>
      <c r="E93" s="21">
        <v>3</v>
      </c>
      <c r="F93" s="21">
        <f>IFERROR(INDEX(competency_model!$F$2:$F$25,MATCH(C93,competency_model!$A$2:$A$25,0)),"")</f>
        <v>3</v>
      </c>
      <c r="G93" s="21">
        <f t="shared" si="1"/>
        <v>0</v>
      </c>
      <c r="H93" s="23">
        <v>46167</v>
      </c>
      <c r="I93" s="16" t="s">
        <v>228</v>
      </c>
      <c r="J93" s="6" t="s">
        <v>596</v>
      </c>
    </row>
    <row r="94" spans="1:10" ht="15" customHeight="1">
      <c r="A94" s="5" t="s">
        <v>682</v>
      </c>
      <c r="B94" s="16" t="s">
        <v>60</v>
      </c>
      <c r="C94" s="16" t="s">
        <v>197</v>
      </c>
      <c r="D94" s="16" t="s">
        <v>583</v>
      </c>
      <c r="E94" s="21">
        <v>1</v>
      </c>
      <c r="F94" s="21">
        <f>IFERROR(INDEX(competency_model!$F$2:$F$25,MATCH(C94,competency_model!$A$2:$A$25,0)),"")</f>
        <v>3</v>
      </c>
      <c r="G94" s="21">
        <f t="shared" si="1"/>
        <v>2</v>
      </c>
      <c r="H94" s="23">
        <v>45883</v>
      </c>
      <c r="I94" s="16" t="s">
        <v>228</v>
      </c>
      <c r="J94" s="6" t="s">
        <v>592</v>
      </c>
    </row>
    <row r="95" spans="1:10" ht="15" customHeight="1">
      <c r="A95" s="5" t="s">
        <v>683</v>
      </c>
      <c r="B95" s="16" t="s">
        <v>60</v>
      </c>
      <c r="C95" s="16" t="s">
        <v>197</v>
      </c>
      <c r="D95" s="16" t="s">
        <v>586</v>
      </c>
      <c r="E95" s="21">
        <v>1</v>
      </c>
      <c r="F95" s="21">
        <f>IFERROR(INDEX(competency_model!$F$2:$F$25,MATCH(C95,competency_model!$A$2:$A$25,0)),"")</f>
        <v>3</v>
      </c>
      <c r="G95" s="21">
        <f t="shared" si="1"/>
        <v>2</v>
      </c>
      <c r="H95" s="23">
        <v>45965</v>
      </c>
      <c r="I95" s="16" t="s">
        <v>228</v>
      </c>
      <c r="J95" s="6" t="s">
        <v>587</v>
      </c>
    </row>
    <row r="96" spans="1:10" ht="15" customHeight="1">
      <c r="A96" s="5" t="s">
        <v>684</v>
      </c>
      <c r="B96" s="16" t="s">
        <v>60</v>
      </c>
      <c r="C96" s="16" t="s">
        <v>197</v>
      </c>
      <c r="D96" s="16" t="s">
        <v>589</v>
      </c>
      <c r="E96" s="21">
        <v>1</v>
      </c>
      <c r="F96" s="21">
        <f>IFERROR(INDEX(competency_model!$F$2:$F$25,MATCH(C96,competency_model!$A$2:$A$25,0)),"")</f>
        <v>3</v>
      </c>
      <c r="G96" s="21">
        <f t="shared" si="1"/>
        <v>2</v>
      </c>
      <c r="H96" s="23">
        <v>46069</v>
      </c>
      <c r="I96" s="16" t="s">
        <v>228</v>
      </c>
      <c r="J96" s="6" t="s">
        <v>592</v>
      </c>
    </row>
    <row r="97" spans="1:10" ht="15" customHeight="1">
      <c r="A97" s="5" t="s">
        <v>685</v>
      </c>
      <c r="B97" s="16" t="s">
        <v>60</v>
      </c>
      <c r="C97" s="16" t="s">
        <v>197</v>
      </c>
      <c r="D97" s="16" t="s">
        <v>591</v>
      </c>
      <c r="E97" s="21">
        <v>2</v>
      </c>
      <c r="F97" s="21">
        <f>IFERROR(INDEX(competency_model!$F$2:$F$25,MATCH(C97,competency_model!$A$2:$A$25,0)),"")</f>
        <v>3</v>
      </c>
      <c r="G97" s="21">
        <f t="shared" si="1"/>
        <v>1</v>
      </c>
      <c r="H97" s="23">
        <v>46149</v>
      </c>
      <c r="I97" s="16" t="s">
        <v>228</v>
      </c>
      <c r="J97" s="6" t="s">
        <v>592</v>
      </c>
    </row>
    <row r="98" spans="1:10" ht="15" customHeight="1">
      <c r="A98" s="5" t="s">
        <v>686</v>
      </c>
      <c r="B98" s="16" t="s">
        <v>60</v>
      </c>
      <c r="C98" s="16" t="s">
        <v>178</v>
      </c>
      <c r="D98" s="16" t="s">
        <v>583</v>
      </c>
      <c r="E98" s="21">
        <v>1</v>
      </c>
      <c r="F98" s="21">
        <f>IFERROR(INDEX(competency_model!$F$2:$F$25,MATCH(C98,competency_model!$A$2:$A$25,0)),"")</f>
        <v>3</v>
      </c>
      <c r="G98" s="21">
        <f t="shared" si="1"/>
        <v>2</v>
      </c>
      <c r="H98" s="23">
        <v>45895</v>
      </c>
      <c r="I98" s="16" t="s">
        <v>228</v>
      </c>
      <c r="J98" s="6" t="s">
        <v>584</v>
      </c>
    </row>
    <row r="99" spans="1:10" ht="15" customHeight="1">
      <c r="A99" s="5" t="s">
        <v>687</v>
      </c>
      <c r="B99" s="16" t="s">
        <v>60</v>
      </c>
      <c r="C99" s="16" t="s">
        <v>178</v>
      </c>
      <c r="D99" s="16" t="s">
        <v>586</v>
      </c>
      <c r="E99" s="21">
        <v>1</v>
      </c>
      <c r="F99" s="21">
        <f>IFERROR(INDEX(competency_model!$F$2:$F$25,MATCH(C99,competency_model!$A$2:$A$25,0)),"")</f>
        <v>3</v>
      </c>
      <c r="G99" s="21">
        <f t="shared" si="1"/>
        <v>2</v>
      </c>
      <c r="H99" s="23">
        <v>45976</v>
      </c>
      <c r="I99" s="16" t="s">
        <v>228</v>
      </c>
      <c r="J99" s="6" t="s">
        <v>584</v>
      </c>
    </row>
    <row r="100" spans="1:10" ht="15" customHeight="1">
      <c r="A100" s="5" t="s">
        <v>688</v>
      </c>
      <c r="B100" s="16" t="s">
        <v>60</v>
      </c>
      <c r="C100" s="16" t="s">
        <v>178</v>
      </c>
      <c r="D100" s="16" t="s">
        <v>589</v>
      </c>
      <c r="E100" s="21">
        <v>1</v>
      </c>
      <c r="F100" s="21">
        <f>IFERROR(INDEX(competency_model!$F$2:$F$25,MATCH(C100,competency_model!$A$2:$A$25,0)),"")</f>
        <v>3</v>
      </c>
      <c r="G100" s="21">
        <f t="shared" si="1"/>
        <v>2</v>
      </c>
      <c r="H100" s="23">
        <v>46068</v>
      </c>
      <c r="I100" s="16" t="s">
        <v>228</v>
      </c>
      <c r="J100" s="6" t="s">
        <v>592</v>
      </c>
    </row>
    <row r="101" spans="1:10" ht="15" customHeight="1">
      <c r="A101" s="5" t="s">
        <v>689</v>
      </c>
      <c r="B101" s="16" t="s">
        <v>60</v>
      </c>
      <c r="C101" s="16" t="s">
        <v>178</v>
      </c>
      <c r="D101" s="16" t="s">
        <v>591</v>
      </c>
      <c r="E101" s="21">
        <v>3</v>
      </c>
      <c r="F101" s="21">
        <f>IFERROR(INDEX(competency_model!$F$2:$F$25,MATCH(C101,competency_model!$A$2:$A$25,0)),"")</f>
        <v>3</v>
      </c>
      <c r="G101" s="21">
        <f t="shared" si="1"/>
        <v>0</v>
      </c>
      <c r="H101" s="23">
        <v>46158</v>
      </c>
      <c r="I101" s="16" t="s">
        <v>228</v>
      </c>
      <c r="J101" s="6" t="s">
        <v>592</v>
      </c>
    </row>
    <row r="102" spans="1:10" ht="15" customHeight="1">
      <c r="A102" s="5" t="s">
        <v>690</v>
      </c>
      <c r="B102" s="16" t="s">
        <v>60</v>
      </c>
      <c r="C102" s="16" t="s">
        <v>154</v>
      </c>
      <c r="D102" s="16" t="s">
        <v>583</v>
      </c>
      <c r="E102" s="21">
        <v>2</v>
      </c>
      <c r="F102" s="21">
        <f>IFERROR(INDEX(competency_model!$F$2:$F$25,MATCH(C102,competency_model!$A$2:$A$25,0)),"")</f>
        <v>4</v>
      </c>
      <c r="G102" s="21">
        <f t="shared" si="1"/>
        <v>2</v>
      </c>
      <c r="H102" s="23">
        <v>45873</v>
      </c>
      <c r="I102" s="16" t="s">
        <v>222</v>
      </c>
      <c r="J102" s="6" t="s">
        <v>584</v>
      </c>
    </row>
    <row r="103" spans="1:10" ht="15" customHeight="1">
      <c r="A103" s="5" t="s">
        <v>691</v>
      </c>
      <c r="B103" s="16" t="s">
        <v>60</v>
      </c>
      <c r="C103" s="16" t="s">
        <v>154</v>
      </c>
      <c r="D103" s="16" t="s">
        <v>586</v>
      </c>
      <c r="E103" s="21">
        <v>4</v>
      </c>
      <c r="F103" s="21">
        <f>IFERROR(INDEX(competency_model!$F$2:$F$25,MATCH(C103,competency_model!$A$2:$A$25,0)),"")</f>
        <v>4</v>
      </c>
      <c r="G103" s="21">
        <f t="shared" si="1"/>
        <v>0</v>
      </c>
      <c r="H103" s="23">
        <v>45978</v>
      </c>
      <c r="I103" s="16" t="s">
        <v>228</v>
      </c>
      <c r="J103" s="6" t="s">
        <v>592</v>
      </c>
    </row>
    <row r="104" spans="1:10" ht="15" customHeight="1">
      <c r="A104" s="5" t="s">
        <v>692</v>
      </c>
      <c r="B104" s="16" t="s">
        <v>60</v>
      </c>
      <c r="C104" s="16" t="s">
        <v>154</v>
      </c>
      <c r="D104" s="16" t="s">
        <v>589</v>
      </c>
      <c r="E104" s="21">
        <v>4</v>
      </c>
      <c r="F104" s="21">
        <f>IFERROR(INDEX(competency_model!$F$2:$F$25,MATCH(C104,competency_model!$A$2:$A$25,0)),"")</f>
        <v>4</v>
      </c>
      <c r="G104" s="21">
        <f t="shared" si="1"/>
        <v>0</v>
      </c>
      <c r="H104" s="23">
        <v>46063</v>
      </c>
      <c r="I104" s="16" t="s">
        <v>225</v>
      </c>
      <c r="J104" s="6" t="s">
        <v>584</v>
      </c>
    </row>
    <row r="105" spans="1:10" ht="15" customHeight="1">
      <c r="A105" s="5" t="s">
        <v>693</v>
      </c>
      <c r="B105" s="16" t="s">
        <v>60</v>
      </c>
      <c r="C105" s="16" t="s">
        <v>154</v>
      </c>
      <c r="D105" s="16" t="s">
        <v>591</v>
      </c>
      <c r="E105" s="21">
        <v>5</v>
      </c>
      <c r="F105" s="21">
        <f>IFERROR(INDEX(competency_model!$F$2:$F$25,MATCH(C105,competency_model!$A$2:$A$25,0)),"")</f>
        <v>4</v>
      </c>
      <c r="G105" s="21">
        <f t="shared" si="1"/>
        <v>0</v>
      </c>
      <c r="H105" s="23">
        <v>46147</v>
      </c>
      <c r="I105" s="16" t="s">
        <v>228</v>
      </c>
      <c r="J105" s="6" t="s">
        <v>592</v>
      </c>
    </row>
    <row r="106" spans="1:10" ht="15" customHeight="1">
      <c r="A106" s="5" t="s">
        <v>694</v>
      </c>
      <c r="B106" s="16" t="s">
        <v>60</v>
      </c>
      <c r="C106" s="16" t="s">
        <v>181</v>
      </c>
      <c r="D106" s="16" t="s">
        <v>583</v>
      </c>
      <c r="E106" s="21">
        <v>1</v>
      </c>
      <c r="F106" s="21">
        <f>IFERROR(INDEX(competency_model!$F$2:$F$25,MATCH(C106,competency_model!$A$2:$A$25,0)),"")</f>
        <v>3</v>
      </c>
      <c r="G106" s="21">
        <f t="shared" si="1"/>
        <v>2</v>
      </c>
      <c r="H106" s="23">
        <v>45877</v>
      </c>
      <c r="I106" s="16" t="s">
        <v>225</v>
      </c>
      <c r="J106" s="6" t="s">
        <v>587</v>
      </c>
    </row>
    <row r="107" spans="1:10" ht="15" customHeight="1">
      <c r="A107" s="5" t="s">
        <v>695</v>
      </c>
      <c r="B107" s="16" t="s">
        <v>60</v>
      </c>
      <c r="C107" s="16" t="s">
        <v>181</v>
      </c>
      <c r="D107" s="16" t="s">
        <v>586</v>
      </c>
      <c r="E107" s="21">
        <v>1</v>
      </c>
      <c r="F107" s="21">
        <f>IFERROR(INDEX(competency_model!$F$2:$F$25,MATCH(C107,competency_model!$A$2:$A$25,0)),"")</f>
        <v>3</v>
      </c>
      <c r="G107" s="21">
        <f t="shared" si="1"/>
        <v>2</v>
      </c>
      <c r="H107" s="23">
        <v>45969</v>
      </c>
      <c r="I107" s="16" t="s">
        <v>228</v>
      </c>
      <c r="J107" s="6" t="s">
        <v>592</v>
      </c>
    </row>
    <row r="108" spans="1:10" ht="15" customHeight="1">
      <c r="A108" s="5" t="s">
        <v>696</v>
      </c>
      <c r="B108" s="16" t="s">
        <v>60</v>
      </c>
      <c r="C108" s="16" t="s">
        <v>181</v>
      </c>
      <c r="D108" s="16" t="s">
        <v>589</v>
      </c>
      <c r="E108" s="21">
        <v>2</v>
      </c>
      <c r="F108" s="21">
        <f>IFERROR(INDEX(competency_model!$F$2:$F$25,MATCH(C108,competency_model!$A$2:$A$25,0)),"")</f>
        <v>3</v>
      </c>
      <c r="G108" s="21">
        <f t="shared" si="1"/>
        <v>1</v>
      </c>
      <c r="H108" s="23">
        <v>46077</v>
      </c>
      <c r="I108" s="16" t="s">
        <v>222</v>
      </c>
      <c r="J108" s="6" t="s">
        <v>596</v>
      </c>
    </row>
    <row r="109" spans="1:10" ht="15" customHeight="1">
      <c r="A109" s="5" t="s">
        <v>697</v>
      </c>
      <c r="B109" s="16" t="s">
        <v>60</v>
      </c>
      <c r="C109" s="16" t="s">
        <v>181</v>
      </c>
      <c r="D109" s="16" t="s">
        <v>591</v>
      </c>
      <c r="E109" s="21">
        <v>2</v>
      </c>
      <c r="F109" s="21">
        <f>IFERROR(INDEX(competency_model!$F$2:$F$25,MATCH(C109,competency_model!$A$2:$A$25,0)),"")</f>
        <v>3</v>
      </c>
      <c r="G109" s="21">
        <f t="shared" si="1"/>
        <v>1</v>
      </c>
      <c r="H109" s="23">
        <v>46159</v>
      </c>
      <c r="I109" s="16" t="s">
        <v>225</v>
      </c>
      <c r="J109" s="6" t="s">
        <v>592</v>
      </c>
    </row>
    <row r="110" spans="1:10" ht="15" customHeight="1">
      <c r="A110" s="5" t="s">
        <v>698</v>
      </c>
      <c r="B110" s="16" t="s">
        <v>60</v>
      </c>
      <c r="C110" s="16" t="s">
        <v>163</v>
      </c>
      <c r="D110" s="16" t="s">
        <v>583</v>
      </c>
      <c r="E110" s="21">
        <v>1</v>
      </c>
      <c r="F110" s="21">
        <f>IFERROR(INDEX(competency_model!$F$2:$F$25,MATCH(C110,competency_model!$A$2:$A$25,0)),"")</f>
        <v>4</v>
      </c>
      <c r="G110" s="21">
        <f t="shared" si="1"/>
        <v>3</v>
      </c>
      <c r="H110" s="23">
        <v>45875</v>
      </c>
      <c r="I110" s="16" t="s">
        <v>225</v>
      </c>
      <c r="J110" s="6" t="s">
        <v>596</v>
      </c>
    </row>
    <row r="111" spans="1:10" ht="15" customHeight="1">
      <c r="A111" s="5" t="s">
        <v>699</v>
      </c>
      <c r="B111" s="16" t="s">
        <v>60</v>
      </c>
      <c r="C111" s="16" t="s">
        <v>163</v>
      </c>
      <c r="D111" s="16" t="s">
        <v>586</v>
      </c>
      <c r="E111" s="21">
        <v>1</v>
      </c>
      <c r="F111" s="21">
        <f>IFERROR(INDEX(competency_model!$F$2:$F$25,MATCH(C111,competency_model!$A$2:$A$25,0)),"")</f>
        <v>4</v>
      </c>
      <c r="G111" s="21">
        <f t="shared" si="1"/>
        <v>3</v>
      </c>
      <c r="H111" s="23">
        <v>45974</v>
      </c>
      <c r="I111" s="16" t="s">
        <v>228</v>
      </c>
      <c r="J111" s="6" t="s">
        <v>592</v>
      </c>
    </row>
    <row r="112" spans="1:10" ht="15" customHeight="1">
      <c r="A112" s="5" t="s">
        <v>700</v>
      </c>
      <c r="B112" s="16" t="s">
        <v>60</v>
      </c>
      <c r="C112" s="16" t="s">
        <v>163</v>
      </c>
      <c r="D112" s="16" t="s">
        <v>589</v>
      </c>
      <c r="E112" s="21">
        <v>2</v>
      </c>
      <c r="F112" s="21">
        <f>IFERROR(INDEX(competency_model!$F$2:$F$25,MATCH(C112,competency_model!$A$2:$A$25,0)),"")</f>
        <v>4</v>
      </c>
      <c r="G112" s="21">
        <f t="shared" si="1"/>
        <v>2</v>
      </c>
      <c r="H112" s="23">
        <v>46062</v>
      </c>
      <c r="I112" s="16" t="s">
        <v>228</v>
      </c>
      <c r="J112" s="6" t="s">
        <v>587</v>
      </c>
    </row>
    <row r="113" spans="1:10" ht="15" customHeight="1">
      <c r="A113" s="5" t="s">
        <v>701</v>
      </c>
      <c r="B113" s="16" t="s">
        <v>60</v>
      </c>
      <c r="C113" s="16" t="s">
        <v>163</v>
      </c>
      <c r="D113" s="16" t="s">
        <v>591</v>
      </c>
      <c r="E113" s="21">
        <v>3</v>
      </c>
      <c r="F113" s="21">
        <f>IFERROR(INDEX(competency_model!$F$2:$F$25,MATCH(C113,competency_model!$A$2:$A$25,0)),"")</f>
        <v>4</v>
      </c>
      <c r="G113" s="21">
        <f t="shared" si="1"/>
        <v>1</v>
      </c>
      <c r="H113" s="23">
        <v>46148</v>
      </c>
      <c r="I113" s="16" t="s">
        <v>228</v>
      </c>
      <c r="J113" s="6" t="s">
        <v>596</v>
      </c>
    </row>
    <row r="114" spans="1:10" ht="15" customHeight="1">
      <c r="A114" s="5" t="s">
        <v>702</v>
      </c>
      <c r="B114" s="16" t="s">
        <v>60</v>
      </c>
      <c r="C114" s="16" t="s">
        <v>160</v>
      </c>
      <c r="D114" s="16" t="s">
        <v>583</v>
      </c>
      <c r="E114" s="21">
        <v>1</v>
      </c>
      <c r="F114" s="21">
        <f>IFERROR(INDEX(competency_model!$F$2:$F$25,MATCH(C114,competency_model!$A$2:$A$25,0)),"")</f>
        <v>3</v>
      </c>
      <c r="G114" s="21">
        <f t="shared" si="1"/>
        <v>2</v>
      </c>
      <c r="H114" s="23">
        <v>45881</v>
      </c>
      <c r="I114" s="16" t="s">
        <v>225</v>
      </c>
      <c r="J114" s="6" t="s">
        <v>596</v>
      </c>
    </row>
    <row r="115" spans="1:10" ht="15" customHeight="1">
      <c r="A115" s="5" t="s">
        <v>703</v>
      </c>
      <c r="B115" s="16" t="s">
        <v>60</v>
      </c>
      <c r="C115" s="16" t="s">
        <v>160</v>
      </c>
      <c r="D115" s="16" t="s">
        <v>586</v>
      </c>
      <c r="E115" s="21">
        <v>1</v>
      </c>
      <c r="F115" s="21">
        <f>IFERROR(INDEX(competency_model!$F$2:$F$25,MATCH(C115,competency_model!$A$2:$A$25,0)),"")</f>
        <v>3</v>
      </c>
      <c r="G115" s="21">
        <f t="shared" si="1"/>
        <v>2</v>
      </c>
      <c r="H115" s="23">
        <v>45988</v>
      </c>
      <c r="I115" s="16" t="s">
        <v>228</v>
      </c>
      <c r="J115" s="6" t="s">
        <v>584</v>
      </c>
    </row>
    <row r="116" spans="1:10" ht="15" customHeight="1">
      <c r="A116" s="5" t="s">
        <v>704</v>
      </c>
      <c r="B116" s="16" t="s">
        <v>60</v>
      </c>
      <c r="C116" s="16" t="s">
        <v>160</v>
      </c>
      <c r="D116" s="16" t="s">
        <v>589</v>
      </c>
      <c r="E116" s="21">
        <v>2</v>
      </c>
      <c r="F116" s="21">
        <f>IFERROR(INDEX(competency_model!$F$2:$F$25,MATCH(C116,competency_model!$A$2:$A$25,0)),"")</f>
        <v>3</v>
      </c>
      <c r="G116" s="21">
        <f t="shared" si="1"/>
        <v>1</v>
      </c>
      <c r="H116" s="23">
        <v>46067</v>
      </c>
      <c r="I116" s="16" t="s">
        <v>222</v>
      </c>
      <c r="J116" s="6" t="s">
        <v>584</v>
      </c>
    </row>
    <row r="117" spans="1:10" ht="15" customHeight="1">
      <c r="A117" s="5" t="s">
        <v>705</v>
      </c>
      <c r="B117" s="16" t="s">
        <v>60</v>
      </c>
      <c r="C117" s="16" t="s">
        <v>160</v>
      </c>
      <c r="D117" s="16" t="s">
        <v>591</v>
      </c>
      <c r="E117" s="21">
        <v>3</v>
      </c>
      <c r="F117" s="21">
        <f>IFERROR(INDEX(competency_model!$F$2:$F$25,MATCH(C117,competency_model!$A$2:$A$25,0)),"")</f>
        <v>3</v>
      </c>
      <c r="G117" s="21">
        <f t="shared" si="1"/>
        <v>0</v>
      </c>
      <c r="H117" s="23">
        <v>46151</v>
      </c>
      <c r="I117" s="16" t="s">
        <v>222</v>
      </c>
      <c r="J117" s="6" t="s">
        <v>592</v>
      </c>
    </row>
    <row r="118" spans="1:10" ht="15" customHeight="1">
      <c r="A118" s="5" t="s">
        <v>706</v>
      </c>
      <c r="B118" s="16" t="s">
        <v>60</v>
      </c>
      <c r="C118" s="16" t="s">
        <v>204</v>
      </c>
      <c r="D118" s="16" t="s">
        <v>583</v>
      </c>
      <c r="E118" s="21">
        <v>1</v>
      </c>
      <c r="F118" s="21">
        <f>IFERROR(INDEX(competency_model!$F$2:$F$25,MATCH(C118,competency_model!$A$2:$A$25,0)),"")</f>
        <v>3</v>
      </c>
      <c r="G118" s="21">
        <f t="shared" si="1"/>
        <v>2</v>
      </c>
      <c r="H118" s="23">
        <v>45885</v>
      </c>
      <c r="I118" s="16" t="s">
        <v>228</v>
      </c>
      <c r="J118" s="6" t="s">
        <v>584</v>
      </c>
    </row>
    <row r="119" spans="1:10" ht="15" customHeight="1">
      <c r="A119" s="5" t="s">
        <v>707</v>
      </c>
      <c r="B119" s="16" t="s">
        <v>60</v>
      </c>
      <c r="C119" s="16" t="s">
        <v>204</v>
      </c>
      <c r="D119" s="16" t="s">
        <v>586</v>
      </c>
      <c r="E119" s="21">
        <v>2</v>
      </c>
      <c r="F119" s="21">
        <f>IFERROR(INDEX(competency_model!$F$2:$F$25,MATCH(C119,competency_model!$A$2:$A$25,0)),"")</f>
        <v>3</v>
      </c>
      <c r="G119" s="21">
        <f t="shared" si="1"/>
        <v>1</v>
      </c>
      <c r="H119" s="23">
        <v>45975</v>
      </c>
      <c r="I119" s="16" t="s">
        <v>225</v>
      </c>
      <c r="J119" s="6" t="s">
        <v>587</v>
      </c>
    </row>
    <row r="120" spans="1:10" ht="15" customHeight="1">
      <c r="A120" s="5" t="s">
        <v>708</v>
      </c>
      <c r="B120" s="16" t="s">
        <v>60</v>
      </c>
      <c r="C120" s="16" t="s">
        <v>204</v>
      </c>
      <c r="D120" s="16" t="s">
        <v>589</v>
      </c>
      <c r="E120" s="21">
        <v>3</v>
      </c>
      <c r="F120" s="21">
        <f>IFERROR(INDEX(competency_model!$F$2:$F$25,MATCH(C120,competency_model!$A$2:$A$25,0)),"")</f>
        <v>3</v>
      </c>
      <c r="G120" s="21">
        <f t="shared" si="1"/>
        <v>0</v>
      </c>
      <c r="H120" s="23">
        <v>46061</v>
      </c>
      <c r="I120" s="16" t="s">
        <v>228</v>
      </c>
      <c r="J120" s="6" t="s">
        <v>592</v>
      </c>
    </row>
    <row r="121" spans="1:10" ht="15" customHeight="1">
      <c r="A121" s="5" t="s">
        <v>709</v>
      </c>
      <c r="B121" s="16" t="s">
        <v>60</v>
      </c>
      <c r="C121" s="16" t="s">
        <v>204</v>
      </c>
      <c r="D121" s="16" t="s">
        <v>591</v>
      </c>
      <c r="E121" s="21">
        <v>3</v>
      </c>
      <c r="F121" s="21">
        <f>IFERROR(INDEX(competency_model!$F$2:$F$25,MATCH(C121,competency_model!$A$2:$A$25,0)),"")</f>
        <v>3</v>
      </c>
      <c r="G121" s="21">
        <f t="shared" si="1"/>
        <v>0</v>
      </c>
      <c r="H121" s="23">
        <v>46154</v>
      </c>
      <c r="I121" s="16" t="s">
        <v>225</v>
      </c>
      <c r="J121" s="6" t="s">
        <v>584</v>
      </c>
    </row>
    <row r="122" spans="1:10" ht="15" customHeight="1">
      <c r="A122" s="5" t="s">
        <v>710</v>
      </c>
      <c r="B122" s="16" t="s">
        <v>60</v>
      </c>
      <c r="C122" s="16" t="s">
        <v>194</v>
      </c>
      <c r="D122" s="16" t="s">
        <v>583</v>
      </c>
      <c r="E122" s="21">
        <v>1</v>
      </c>
      <c r="F122" s="21">
        <f>IFERROR(INDEX(competency_model!$F$2:$F$25,MATCH(C122,competency_model!$A$2:$A$25,0)),"")</f>
        <v>3</v>
      </c>
      <c r="G122" s="21">
        <f t="shared" si="1"/>
        <v>2</v>
      </c>
      <c r="H122" s="23">
        <v>45889</v>
      </c>
      <c r="I122" s="16" t="s">
        <v>228</v>
      </c>
      <c r="J122" s="6" t="s">
        <v>587</v>
      </c>
    </row>
    <row r="123" spans="1:10" ht="15" customHeight="1">
      <c r="A123" s="5" t="s">
        <v>711</v>
      </c>
      <c r="B123" s="16" t="s">
        <v>60</v>
      </c>
      <c r="C123" s="16" t="s">
        <v>194</v>
      </c>
      <c r="D123" s="16" t="s">
        <v>586</v>
      </c>
      <c r="E123" s="21">
        <v>3</v>
      </c>
      <c r="F123" s="21">
        <f>IFERROR(INDEX(competency_model!$F$2:$F$25,MATCH(C123,competency_model!$A$2:$A$25,0)),"")</f>
        <v>3</v>
      </c>
      <c r="G123" s="21">
        <f t="shared" si="1"/>
        <v>0</v>
      </c>
      <c r="H123" s="23">
        <v>45983</v>
      </c>
      <c r="I123" s="16" t="s">
        <v>228</v>
      </c>
      <c r="J123" s="6" t="s">
        <v>587</v>
      </c>
    </row>
    <row r="124" spans="1:10" ht="15" customHeight="1">
      <c r="A124" s="5" t="s">
        <v>712</v>
      </c>
      <c r="B124" s="16" t="s">
        <v>60</v>
      </c>
      <c r="C124" s="16" t="s">
        <v>194</v>
      </c>
      <c r="D124" s="16" t="s">
        <v>589</v>
      </c>
      <c r="E124" s="21">
        <v>4</v>
      </c>
      <c r="F124" s="21">
        <f>IFERROR(INDEX(competency_model!$F$2:$F$25,MATCH(C124,competency_model!$A$2:$A$25,0)),"")</f>
        <v>3</v>
      </c>
      <c r="G124" s="21">
        <f t="shared" si="1"/>
        <v>0</v>
      </c>
      <c r="H124" s="23">
        <v>46075</v>
      </c>
      <c r="I124" s="16" t="s">
        <v>228</v>
      </c>
      <c r="J124" s="6" t="s">
        <v>587</v>
      </c>
    </row>
    <row r="125" spans="1:10" ht="15" customHeight="1">
      <c r="A125" s="5" t="s">
        <v>713</v>
      </c>
      <c r="B125" s="16" t="s">
        <v>60</v>
      </c>
      <c r="C125" s="16" t="s">
        <v>194</v>
      </c>
      <c r="D125" s="16" t="s">
        <v>591</v>
      </c>
      <c r="E125" s="21">
        <v>4</v>
      </c>
      <c r="F125" s="21">
        <f>IFERROR(INDEX(competency_model!$F$2:$F$25,MATCH(C125,competency_model!$A$2:$A$25,0)),"")</f>
        <v>3</v>
      </c>
      <c r="G125" s="21">
        <f t="shared" si="1"/>
        <v>0</v>
      </c>
      <c r="H125" s="23">
        <v>46169</v>
      </c>
      <c r="I125" s="16" t="s">
        <v>225</v>
      </c>
      <c r="J125" s="6" t="s">
        <v>584</v>
      </c>
    </row>
    <row r="126" spans="1:10" ht="15" customHeight="1">
      <c r="A126" s="5" t="s">
        <v>714</v>
      </c>
      <c r="B126" s="16" t="s">
        <v>64</v>
      </c>
      <c r="C126" s="16" t="s">
        <v>192</v>
      </c>
      <c r="D126" s="16" t="s">
        <v>583</v>
      </c>
      <c r="E126" s="21">
        <v>3</v>
      </c>
      <c r="F126" s="21">
        <f>IFERROR(INDEX(competency_model!$F$2:$F$25,MATCH(C126,competency_model!$A$2:$A$25,0)),"")</f>
        <v>4</v>
      </c>
      <c r="G126" s="21">
        <f t="shared" si="1"/>
        <v>1</v>
      </c>
      <c r="H126" s="23">
        <v>45885</v>
      </c>
      <c r="I126" s="16" t="s">
        <v>225</v>
      </c>
      <c r="J126" s="6" t="s">
        <v>592</v>
      </c>
    </row>
    <row r="127" spans="1:10" ht="15" customHeight="1">
      <c r="A127" s="5" t="s">
        <v>715</v>
      </c>
      <c r="B127" s="16" t="s">
        <v>64</v>
      </c>
      <c r="C127" s="16" t="s">
        <v>192</v>
      </c>
      <c r="D127" s="16" t="s">
        <v>586</v>
      </c>
      <c r="E127" s="21">
        <v>4</v>
      </c>
      <c r="F127" s="21">
        <f>IFERROR(INDEX(competency_model!$F$2:$F$25,MATCH(C127,competency_model!$A$2:$A$25,0)),"")</f>
        <v>4</v>
      </c>
      <c r="G127" s="21">
        <f t="shared" si="1"/>
        <v>0</v>
      </c>
      <c r="H127" s="23">
        <v>45970</v>
      </c>
      <c r="I127" s="16" t="s">
        <v>228</v>
      </c>
      <c r="J127" s="6" t="s">
        <v>584</v>
      </c>
    </row>
    <row r="128" spans="1:10" ht="15" customHeight="1">
      <c r="A128" s="5" t="s">
        <v>716</v>
      </c>
      <c r="B128" s="16" t="s">
        <v>64</v>
      </c>
      <c r="C128" s="16" t="s">
        <v>192</v>
      </c>
      <c r="D128" s="16" t="s">
        <v>589</v>
      </c>
      <c r="E128" s="21">
        <v>5</v>
      </c>
      <c r="F128" s="21">
        <f>IFERROR(INDEX(competency_model!$F$2:$F$25,MATCH(C128,competency_model!$A$2:$A$25,0)),"")</f>
        <v>4</v>
      </c>
      <c r="G128" s="21">
        <f t="shared" si="1"/>
        <v>0</v>
      </c>
      <c r="H128" s="23">
        <v>46077</v>
      </c>
      <c r="I128" s="16" t="s">
        <v>228</v>
      </c>
      <c r="J128" s="6" t="s">
        <v>596</v>
      </c>
    </row>
    <row r="129" spans="1:10" ht="15" customHeight="1">
      <c r="A129" s="5" t="s">
        <v>717</v>
      </c>
      <c r="B129" s="16" t="s">
        <v>64</v>
      </c>
      <c r="C129" s="16" t="s">
        <v>192</v>
      </c>
      <c r="D129" s="16" t="s">
        <v>591</v>
      </c>
      <c r="E129" s="21">
        <v>5</v>
      </c>
      <c r="F129" s="21">
        <f>IFERROR(INDEX(competency_model!$F$2:$F$25,MATCH(C129,competency_model!$A$2:$A$25,0)),"")</f>
        <v>4</v>
      </c>
      <c r="G129" s="21">
        <f t="shared" si="1"/>
        <v>0</v>
      </c>
      <c r="H129" s="23">
        <v>46148</v>
      </c>
      <c r="I129" s="16" t="s">
        <v>228</v>
      </c>
      <c r="J129" s="6" t="s">
        <v>584</v>
      </c>
    </row>
    <row r="130" spans="1:10" ht="15" customHeight="1">
      <c r="A130" s="5" t="s">
        <v>718</v>
      </c>
      <c r="B130" s="16" t="s">
        <v>64</v>
      </c>
      <c r="C130" s="16" t="s">
        <v>175</v>
      </c>
      <c r="D130" s="16" t="s">
        <v>583</v>
      </c>
      <c r="E130" s="21">
        <v>1</v>
      </c>
      <c r="F130" s="21">
        <f>IFERROR(INDEX(competency_model!$F$2:$F$25,MATCH(C130,competency_model!$A$2:$A$25,0)),"")</f>
        <v>4</v>
      </c>
      <c r="G130" s="21">
        <f t="shared" ref="G130:G193" si="2">MAX(0,F130-E130)</f>
        <v>3</v>
      </c>
      <c r="H130" s="23">
        <v>45895</v>
      </c>
      <c r="I130" s="16" t="s">
        <v>225</v>
      </c>
      <c r="J130" s="6" t="s">
        <v>592</v>
      </c>
    </row>
    <row r="131" spans="1:10" ht="15" customHeight="1">
      <c r="A131" s="5" t="s">
        <v>719</v>
      </c>
      <c r="B131" s="16" t="s">
        <v>64</v>
      </c>
      <c r="C131" s="16" t="s">
        <v>175</v>
      </c>
      <c r="D131" s="16" t="s">
        <v>586</v>
      </c>
      <c r="E131" s="21">
        <v>2</v>
      </c>
      <c r="F131" s="21">
        <f>IFERROR(INDEX(competency_model!$F$2:$F$25,MATCH(C131,competency_model!$A$2:$A$25,0)),"")</f>
        <v>4</v>
      </c>
      <c r="G131" s="21">
        <f t="shared" si="2"/>
        <v>2</v>
      </c>
      <c r="H131" s="23">
        <v>45971</v>
      </c>
      <c r="I131" s="16" t="s">
        <v>222</v>
      </c>
      <c r="J131" s="6" t="s">
        <v>596</v>
      </c>
    </row>
    <row r="132" spans="1:10" ht="15" customHeight="1">
      <c r="A132" s="5" t="s">
        <v>720</v>
      </c>
      <c r="B132" s="16" t="s">
        <v>64</v>
      </c>
      <c r="C132" s="16" t="s">
        <v>175</v>
      </c>
      <c r="D132" s="16" t="s">
        <v>589</v>
      </c>
      <c r="E132" s="21">
        <v>2</v>
      </c>
      <c r="F132" s="21">
        <f>IFERROR(INDEX(competency_model!$F$2:$F$25,MATCH(C132,competency_model!$A$2:$A$25,0)),"")</f>
        <v>4</v>
      </c>
      <c r="G132" s="21">
        <f t="shared" si="2"/>
        <v>2</v>
      </c>
      <c r="H132" s="23">
        <v>46063</v>
      </c>
      <c r="I132" s="16" t="s">
        <v>228</v>
      </c>
      <c r="J132" s="6" t="s">
        <v>592</v>
      </c>
    </row>
    <row r="133" spans="1:10" ht="15" customHeight="1">
      <c r="A133" s="5" t="s">
        <v>721</v>
      </c>
      <c r="B133" s="16" t="s">
        <v>64</v>
      </c>
      <c r="C133" s="16" t="s">
        <v>175</v>
      </c>
      <c r="D133" s="16" t="s">
        <v>591</v>
      </c>
      <c r="E133" s="21">
        <v>3</v>
      </c>
      <c r="F133" s="21">
        <f>IFERROR(INDEX(competency_model!$F$2:$F$25,MATCH(C133,competency_model!$A$2:$A$25,0)),"")</f>
        <v>4</v>
      </c>
      <c r="G133" s="21">
        <f t="shared" si="2"/>
        <v>1</v>
      </c>
      <c r="H133" s="23">
        <v>46156</v>
      </c>
      <c r="I133" s="16" t="s">
        <v>228</v>
      </c>
      <c r="J133" s="6" t="s">
        <v>587</v>
      </c>
    </row>
    <row r="134" spans="1:10" ht="15" customHeight="1">
      <c r="A134" s="5" t="s">
        <v>722</v>
      </c>
      <c r="B134" s="16" t="s">
        <v>64</v>
      </c>
      <c r="C134" s="16" t="s">
        <v>154</v>
      </c>
      <c r="D134" s="16" t="s">
        <v>583</v>
      </c>
      <c r="E134" s="21">
        <v>1</v>
      </c>
      <c r="F134" s="21">
        <f>IFERROR(INDEX(competency_model!$F$2:$F$25,MATCH(C134,competency_model!$A$2:$A$25,0)),"")</f>
        <v>4</v>
      </c>
      <c r="G134" s="21">
        <f t="shared" si="2"/>
        <v>3</v>
      </c>
      <c r="H134" s="23">
        <v>45894</v>
      </c>
      <c r="I134" s="16" t="s">
        <v>228</v>
      </c>
      <c r="J134" s="6" t="s">
        <v>584</v>
      </c>
    </row>
    <row r="135" spans="1:10" ht="15" customHeight="1">
      <c r="A135" s="5" t="s">
        <v>723</v>
      </c>
      <c r="B135" s="16" t="s">
        <v>64</v>
      </c>
      <c r="C135" s="16" t="s">
        <v>154</v>
      </c>
      <c r="D135" s="16" t="s">
        <v>586</v>
      </c>
      <c r="E135" s="21">
        <v>1</v>
      </c>
      <c r="F135" s="21">
        <f>IFERROR(INDEX(competency_model!$F$2:$F$25,MATCH(C135,competency_model!$A$2:$A$25,0)),"")</f>
        <v>4</v>
      </c>
      <c r="G135" s="21">
        <f t="shared" si="2"/>
        <v>3</v>
      </c>
      <c r="H135" s="23">
        <v>45966</v>
      </c>
      <c r="I135" s="16" t="s">
        <v>228</v>
      </c>
      <c r="J135" s="6" t="s">
        <v>596</v>
      </c>
    </row>
    <row r="136" spans="1:10" ht="15" customHeight="1">
      <c r="A136" s="5" t="s">
        <v>724</v>
      </c>
      <c r="B136" s="16" t="s">
        <v>64</v>
      </c>
      <c r="C136" s="16" t="s">
        <v>154</v>
      </c>
      <c r="D136" s="16" t="s">
        <v>589</v>
      </c>
      <c r="E136" s="21">
        <v>1</v>
      </c>
      <c r="F136" s="21">
        <f>IFERROR(INDEX(competency_model!$F$2:$F$25,MATCH(C136,competency_model!$A$2:$A$25,0)),"")</f>
        <v>4</v>
      </c>
      <c r="G136" s="21">
        <f t="shared" si="2"/>
        <v>3</v>
      </c>
      <c r="H136" s="23">
        <v>46079</v>
      </c>
      <c r="I136" s="16" t="s">
        <v>225</v>
      </c>
      <c r="J136" s="6" t="s">
        <v>584</v>
      </c>
    </row>
    <row r="137" spans="1:10" ht="15" customHeight="1">
      <c r="A137" s="5" t="s">
        <v>725</v>
      </c>
      <c r="B137" s="16" t="s">
        <v>64</v>
      </c>
      <c r="C137" s="16" t="s">
        <v>154</v>
      </c>
      <c r="D137" s="16" t="s">
        <v>591</v>
      </c>
      <c r="E137" s="21">
        <v>3</v>
      </c>
      <c r="F137" s="21">
        <f>IFERROR(INDEX(competency_model!$F$2:$F$25,MATCH(C137,competency_model!$A$2:$A$25,0)),"")</f>
        <v>4</v>
      </c>
      <c r="G137" s="21">
        <f t="shared" si="2"/>
        <v>1</v>
      </c>
      <c r="H137" s="23">
        <v>46166</v>
      </c>
      <c r="I137" s="16" t="s">
        <v>222</v>
      </c>
      <c r="J137" s="6" t="s">
        <v>584</v>
      </c>
    </row>
    <row r="138" spans="1:10" ht="15" customHeight="1">
      <c r="A138" s="5" t="s">
        <v>726</v>
      </c>
      <c r="B138" s="16" t="s">
        <v>64</v>
      </c>
      <c r="C138" s="16" t="s">
        <v>189</v>
      </c>
      <c r="D138" s="16" t="s">
        <v>583</v>
      </c>
      <c r="E138" s="21">
        <v>3</v>
      </c>
      <c r="F138" s="21">
        <f>IFERROR(INDEX(competency_model!$F$2:$F$25,MATCH(C138,competency_model!$A$2:$A$25,0)),"")</f>
        <v>4</v>
      </c>
      <c r="G138" s="21">
        <f t="shared" si="2"/>
        <v>1</v>
      </c>
      <c r="H138" s="23">
        <v>45880</v>
      </c>
      <c r="I138" s="16" t="s">
        <v>222</v>
      </c>
      <c r="J138" s="6" t="s">
        <v>596</v>
      </c>
    </row>
    <row r="139" spans="1:10" ht="15" customHeight="1">
      <c r="A139" s="5" t="s">
        <v>727</v>
      </c>
      <c r="B139" s="16" t="s">
        <v>64</v>
      </c>
      <c r="C139" s="16" t="s">
        <v>189</v>
      </c>
      <c r="D139" s="16" t="s">
        <v>586</v>
      </c>
      <c r="E139" s="21">
        <v>3</v>
      </c>
      <c r="F139" s="21">
        <f>IFERROR(INDEX(competency_model!$F$2:$F$25,MATCH(C139,competency_model!$A$2:$A$25,0)),"")</f>
        <v>4</v>
      </c>
      <c r="G139" s="21">
        <f t="shared" si="2"/>
        <v>1</v>
      </c>
      <c r="H139" s="23">
        <v>45984</v>
      </c>
      <c r="I139" s="16" t="s">
        <v>222</v>
      </c>
      <c r="J139" s="6" t="s">
        <v>596</v>
      </c>
    </row>
    <row r="140" spans="1:10" ht="15" customHeight="1">
      <c r="A140" s="5" t="s">
        <v>728</v>
      </c>
      <c r="B140" s="16" t="s">
        <v>64</v>
      </c>
      <c r="C140" s="16" t="s">
        <v>189</v>
      </c>
      <c r="D140" s="16" t="s">
        <v>589</v>
      </c>
      <c r="E140" s="21">
        <v>4</v>
      </c>
      <c r="F140" s="21">
        <f>IFERROR(INDEX(competency_model!$F$2:$F$25,MATCH(C140,competency_model!$A$2:$A$25,0)),"")</f>
        <v>4</v>
      </c>
      <c r="G140" s="21">
        <f t="shared" si="2"/>
        <v>0</v>
      </c>
      <c r="H140" s="23">
        <v>46066</v>
      </c>
      <c r="I140" s="16" t="s">
        <v>228</v>
      </c>
      <c r="J140" s="6" t="s">
        <v>584</v>
      </c>
    </row>
    <row r="141" spans="1:10" ht="15" customHeight="1">
      <c r="A141" s="5" t="s">
        <v>729</v>
      </c>
      <c r="B141" s="16" t="s">
        <v>64</v>
      </c>
      <c r="C141" s="16" t="s">
        <v>189</v>
      </c>
      <c r="D141" s="16" t="s">
        <v>591</v>
      </c>
      <c r="E141" s="21">
        <v>5</v>
      </c>
      <c r="F141" s="21">
        <f>IFERROR(INDEX(competency_model!$F$2:$F$25,MATCH(C141,competency_model!$A$2:$A$25,0)),"")</f>
        <v>4</v>
      </c>
      <c r="G141" s="21">
        <f t="shared" si="2"/>
        <v>0</v>
      </c>
      <c r="H141" s="23">
        <v>46157</v>
      </c>
      <c r="I141" s="16" t="s">
        <v>228</v>
      </c>
      <c r="J141" s="6" t="s">
        <v>584</v>
      </c>
    </row>
    <row r="142" spans="1:10" ht="15" customHeight="1">
      <c r="A142" s="5" t="s">
        <v>730</v>
      </c>
      <c r="B142" s="16" t="s">
        <v>64</v>
      </c>
      <c r="C142" s="16" t="s">
        <v>197</v>
      </c>
      <c r="D142" s="16" t="s">
        <v>583</v>
      </c>
      <c r="E142" s="21">
        <v>1</v>
      </c>
      <c r="F142" s="21">
        <f>IFERROR(INDEX(competency_model!$F$2:$F$25,MATCH(C142,competency_model!$A$2:$A$25,0)),"")</f>
        <v>3</v>
      </c>
      <c r="G142" s="21">
        <f t="shared" si="2"/>
        <v>2</v>
      </c>
      <c r="H142" s="23">
        <v>45893</v>
      </c>
      <c r="I142" s="16" t="s">
        <v>228</v>
      </c>
      <c r="J142" s="6" t="s">
        <v>584</v>
      </c>
    </row>
    <row r="143" spans="1:10" ht="15" customHeight="1">
      <c r="A143" s="5" t="s">
        <v>731</v>
      </c>
      <c r="B143" s="16" t="s">
        <v>64</v>
      </c>
      <c r="C143" s="16" t="s">
        <v>197</v>
      </c>
      <c r="D143" s="16" t="s">
        <v>586</v>
      </c>
      <c r="E143" s="21">
        <v>1</v>
      </c>
      <c r="F143" s="21">
        <f>IFERROR(INDEX(competency_model!$F$2:$F$25,MATCH(C143,competency_model!$A$2:$A$25,0)),"")</f>
        <v>3</v>
      </c>
      <c r="G143" s="21">
        <f t="shared" si="2"/>
        <v>2</v>
      </c>
      <c r="H143" s="23">
        <v>45987</v>
      </c>
      <c r="I143" s="16" t="s">
        <v>222</v>
      </c>
      <c r="J143" s="6" t="s">
        <v>584</v>
      </c>
    </row>
    <row r="144" spans="1:10" ht="15" customHeight="1">
      <c r="A144" s="5" t="s">
        <v>732</v>
      </c>
      <c r="B144" s="16" t="s">
        <v>64</v>
      </c>
      <c r="C144" s="16" t="s">
        <v>197</v>
      </c>
      <c r="D144" s="16" t="s">
        <v>589</v>
      </c>
      <c r="E144" s="21">
        <v>1</v>
      </c>
      <c r="F144" s="21">
        <f>IFERROR(INDEX(competency_model!$F$2:$F$25,MATCH(C144,competency_model!$A$2:$A$25,0)),"")</f>
        <v>3</v>
      </c>
      <c r="G144" s="21">
        <f t="shared" si="2"/>
        <v>2</v>
      </c>
      <c r="H144" s="23">
        <v>46056</v>
      </c>
      <c r="I144" s="16" t="s">
        <v>225</v>
      </c>
      <c r="J144" s="6" t="s">
        <v>587</v>
      </c>
    </row>
    <row r="145" spans="1:10" ht="15" customHeight="1">
      <c r="A145" s="5" t="s">
        <v>733</v>
      </c>
      <c r="B145" s="16" t="s">
        <v>64</v>
      </c>
      <c r="C145" s="16" t="s">
        <v>197</v>
      </c>
      <c r="D145" s="16" t="s">
        <v>591</v>
      </c>
      <c r="E145" s="21">
        <v>2</v>
      </c>
      <c r="F145" s="21">
        <f>IFERROR(INDEX(competency_model!$F$2:$F$25,MATCH(C145,competency_model!$A$2:$A$25,0)),"")</f>
        <v>3</v>
      </c>
      <c r="G145" s="21">
        <f t="shared" si="2"/>
        <v>1</v>
      </c>
      <c r="H145" s="23">
        <v>46152</v>
      </c>
      <c r="I145" s="16" t="s">
        <v>222</v>
      </c>
      <c r="J145" s="6" t="s">
        <v>587</v>
      </c>
    </row>
    <row r="146" spans="1:10" ht="15" customHeight="1">
      <c r="A146" s="5" t="s">
        <v>734</v>
      </c>
      <c r="B146" s="16" t="s">
        <v>64</v>
      </c>
      <c r="C146" s="16" t="s">
        <v>160</v>
      </c>
      <c r="D146" s="16" t="s">
        <v>583</v>
      </c>
      <c r="E146" s="21">
        <v>1</v>
      </c>
      <c r="F146" s="21">
        <f>IFERROR(INDEX(competency_model!$F$2:$F$25,MATCH(C146,competency_model!$A$2:$A$25,0)),"")</f>
        <v>3</v>
      </c>
      <c r="G146" s="21">
        <f t="shared" si="2"/>
        <v>2</v>
      </c>
      <c r="H146" s="23">
        <v>45887</v>
      </c>
      <c r="I146" s="16" t="s">
        <v>222</v>
      </c>
      <c r="J146" s="6" t="s">
        <v>596</v>
      </c>
    </row>
    <row r="147" spans="1:10" ht="15" customHeight="1">
      <c r="A147" s="5" t="s">
        <v>735</v>
      </c>
      <c r="B147" s="16" t="s">
        <v>64</v>
      </c>
      <c r="C147" s="16" t="s">
        <v>160</v>
      </c>
      <c r="D147" s="16" t="s">
        <v>586</v>
      </c>
      <c r="E147" s="21">
        <v>1</v>
      </c>
      <c r="F147" s="21">
        <f>IFERROR(INDEX(competency_model!$F$2:$F$25,MATCH(C147,competency_model!$A$2:$A$25,0)),"")</f>
        <v>3</v>
      </c>
      <c r="G147" s="21">
        <f t="shared" si="2"/>
        <v>2</v>
      </c>
      <c r="H147" s="23">
        <v>45974</v>
      </c>
      <c r="I147" s="16" t="s">
        <v>228</v>
      </c>
      <c r="J147" s="6" t="s">
        <v>587</v>
      </c>
    </row>
    <row r="148" spans="1:10" ht="15" customHeight="1">
      <c r="A148" s="5" t="s">
        <v>736</v>
      </c>
      <c r="B148" s="16" t="s">
        <v>64</v>
      </c>
      <c r="C148" s="16" t="s">
        <v>160</v>
      </c>
      <c r="D148" s="16" t="s">
        <v>589</v>
      </c>
      <c r="E148" s="21">
        <v>1</v>
      </c>
      <c r="F148" s="21">
        <f>IFERROR(INDEX(competency_model!$F$2:$F$25,MATCH(C148,competency_model!$A$2:$A$25,0)),"")</f>
        <v>3</v>
      </c>
      <c r="G148" s="21">
        <f t="shared" si="2"/>
        <v>2</v>
      </c>
      <c r="H148" s="23">
        <v>46067</v>
      </c>
      <c r="I148" s="16" t="s">
        <v>228</v>
      </c>
      <c r="J148" s="6" t="s">
        <v>584</v>
      </c>
    </row>
    <row r="149" spans="1:10" ht="15" customHeight="1">
      <c r="A149" s="5" t="s">
        <v>737</v>
      </c>
      <c r="B149" s="16" t="s">
        <v>64</v>
      </c>
      <c r="C149" s="16" t="s">
        <v>160</v>
      </c>
      <c r="D149" s="16" t="s">
        <v>591</v>
      </c>
      <c r="E149" s="21">
        <v>3</v>
      </c>
      <c r="F149" s="21">
        <f>IFERROR(INDEX(competency_model!$F$2:$F$25,MATCH(C149,competency_model!$A$2:$A$25,0)),"")</f>
        <v>3</v>
      </c>
      <c r="G149" s="21">
        <f t="shared" si="2"/>
        <v>0</v>
      </c>
      <c r="H149" s="23">
        <v>46148</v>
      </c>
      <c r="I149" s="16" t="s">
        <v>228</v>
      </c>
      <c r="J149" s="6" t="s">
        <v>596</v>
      </c>
    </row>
    <row r="150" spans="1:10" ht="15" customHeight="1">
      <c r="A150" s="5" t="s">
        <v>738</v>
      </c>
      <c r="B150" s="16" t="s">
        <v>68</v>
      </c>
      <c r="C150" s="16" t="s">
        <v>186</v>
      </c>
      <c r="D150" s="16" t="s">
        <v>583</v>
      </c>
      <c r="E150" s="21">
        <v>1</v>
      </c>
      <c r="F150" s="21">
        <f>IFERROR(INDEX(competency_model!$F$2:$F$25,MATCH(C150,competency_model!$A$2:$A$25,0)),"")</f>
        <v>3</v>
      </c>
      <c r="G150" s="21">
        <f t="shared" si="2"/>
        <v>2</v>
      </c>
      <c r="H150" s="23">
        <v>45872</v>
      </c>
      <c r="I150" s="16" t="s">
        <v>228</v>
      </c>
      <c r="J150" s="6" t="s">
        <v>584</v>
      </c>
    </row>
    <row r="151" spans="1:10" ht="15" customHeight="1">
      <c r="A151" s="5" t="s">
        <v>739</v>
      </c>
      <c r="B151" s="16" t="s">
        <v>68</v>
      </c>
      <c r="C151" s="16" t="s">
        <v>186</v>
      </c>
      <c r="D151" s="16" t="s">
        <v>586</v>
      </c>
      <c r="E151" s="21">
        <v>1</v>
      </c>
      <c r="F151" s="21">
        <f>IFERROR(INDEX(competency_model!$F$2:$F$25,MATCH(C151,competency_model!$A$2:$A$25,0)),"")</f>
        <v>3</v>
      </c>
      <c r="G151" s="21">
        <f t="shared" si="2"/>
        <v>2</v>
      </c>
      <c r="H151" s="23">
        <v>45973</v>
      </c>
      <c r="I151" s="16" t="s">
        <v>228</v>
      </c>
      <c r="J151" s="6" t="s">
        <v>587</v>
      </c>
    </row>
    <row r="152" spans="1:10" ht="15" customHeight="1">
      <c r="A152" s="5" t="s">
        <v>740</v>
      </c>
      <c r="B152" s="16" t="s">
        <v>68</v>
      </c>
      <c r="C152" s="16" t="s">
        <v>186</v>
      </c>
      <c r="D152" s="16" t="s">
        <v>589</v>
      </c>
      <c r="E152" s="21">
        <v>2</v>
      </c>
      <c r="F152" s="21">
        <f>IFERROR(INDEX(competency_model!$F$2:$F$25,MATCH(C152,competency_model!$A$2:$A$25,0)),"")</f>
        <v>3</v>
      </c>
      <c r="G152" s="21">
        <f t="shared" si="2"/>
        <v>1</v>
      </c>
      <c r="H152" s="23">
        <v>46073</v>
      </c>
      <c r="I152" s="16" t="s">
        <v>222</v>
      </c>
      <c r="J152" s="6" t="s">
        <v>592</v>
      </c>
    </row>
    <row r="153" spans="1:10" ht="15" customHeight="1">
      <c r="A153" s="5" t="s">
        <v>741</v>
      </c>
      <c r="B153" s="16" t="s">
        <v>68</v>
      </c>
      <c r="C153" s="16" t="s">
        <v>186</v>
      </c>
      <c r="D153" s="16" t="s">
        <v>591</v>
      </c>
      <c r="E153" s="21">
        <v>3</v>
      </c>
      <c r="F153" s="21">
        <f>IFERROR(INDEX(competency_model!$F$2:$F$25,MATCH(C153,competency_model!$A$2:$A$25,0)),"")</f>
        <v>3</v>
      </c>
      <c r="G153" s="21">
        <f t="shared" si="2"/>
        <v>0</v>
      </c>
      <c r="H153" s="23">
        <v>46153</v>
      </c>
      <c r="I153" s="16" t="s">
        <v>225</v>
      </c>
      <c r="J153" s="6" t="s">
        <v>587</v>
      </c>
    </row>
    <row r="154" spans="1:10" ht="15" customHeight="1">
      <c r="A154" s="5" t="s">
        <v>742</v>
      </c>
      <c r="B154" s="16" t="s">
        <v>68</v>
      </c>
      <c r="C154" s="16" t="s">
        <v>160</v>
      </c>
      <c r="D154" s="16" t="s">
        <v>583</v>
      </c>
      <c r="E154" s="21">
        <v>1</v>
      </c>
      <c r="F154" s="21">
        <f>IFERROR(INDEX(competency_model!$F$2:$F$25,MATCH(C154,competency_model!$A$2:$A$25,0)),"")</f>
        <v>3</v>
      </c>
      <c r="G154" s="21">
        <f t="shared" si="2"/>
        <v>2</v>
      </c>
      <c r="H154" s="23">
        <v>45892</v>
      </c>
      <c r="I154" s="16" t="s">
        <v>228</v>
      </c>
      <c r="J154" s="6" t="s">
        <v>592</v>
      </c>
    </row>
    <row r="155" spans="1:10" ht="15" customHeight="1">
      <c r="A155" s="5" t="s">
        <v>743</v>
      </c>
      <c r="B155" s="16" t="s">
        <v>68</v>
      </c>
      <c r="C155" s="16" t="s">
        <v>160</v>
      </c>
      <c r="D155" s="16" t="s">
        <v>586</v>
      </c>
      <c r="E155" s="21">
        <v>1</v>
      </c>
      <c r="F155" s="21">
        <f>IFERROR(INDEX(competency_model!$F$2:$F$25,MATCH(C155,competency_model!$A$2:$A$25,0)),"")</f>
        <v>3</v>
      </c>
      <c r="G155" s="21">
        <f t="shared" si="2"/>
        <v>2</v>
      </c>
      <c r="H155" s="23">
        <v>45987</v>
      </c>
      <c r="I155" s="16" t="s">
        <v>228</v>
      </c>
      <c r="J155" s="6" t="s">
        <v>592</v>
      </c>
    </row>
    <row r="156" spans="1:10" ht="15" customHeight="1">
      <c r="A156" s="5" t="s">
        <v>744</v>
      </c>
      <c r="B156" s="16" t="s">
        <v>68</v>
      </c>
      <c r="C156" s="16" t="s">
        <v>160</v>
      </c>
      <c r="D156" s="16" t="s">
        <v>589</v>
      </c>
      <c r="E156" s="21">
        <v>2</v>
      </c>
      <c r="F156" s="21">
        <f>IFERROR(INDEX(competency_model!$F$2:$F$25,MATCH(C156,competency_model!$A$2:$A$25,0)),"")</f>
        <v>3</v>
      </c>
      <c r="G156" s="21">
        <f t="shared" si="2"/>
        <v>1</v>
      </c>
      <c r="H156" s="23">
        <v>46074</v>
      </c>
      <c r="I156" s="16" t="s">
        <v>228</v>
      </c>
      <c r="J156" s="6" t="s">
        <v>584</v>
      </c>
    </row>
    <row r="157" spans="1:10" ht="15" customHeight="1">
      <c r="A157" s="5" t="s">
        <v>745</v>
      </c>
      <c r="B157" s="16" t="s">
        <v>68</v>
      </c>
      <c r="C157" s="16" t="s">
        <v>160</v>
      </c>
      <c r="D157" s="16" t="s">
        <v>591</v>
      </c>
      <c r="E157" s="21">
        <v>2</v>
      </c>
      <c r="F157" s="21">
        <f>IFERROR(INDEX(competency_model!$F$2:$F$25,MATCH(C157,competency_model!$A$2:$A$25,0)),"")</f>
        <v>3</v>
      </c>
      <c r="G157" s="21">
        <f t="shared" si="2"/>
        <v>1</v>
      </c>
      <c r="H157" s="23">
        <v>46161</v>
      </c>
      <c r="I157" s="16" t="s">
        <v>228</v>
      </c>
      <c r="J157" s="6" t="s">
        <v>596</v>
      </c>
    </row>
    <row r="158" spans="1:10" ht="15" customHeight="1">
      <c r="A158" s="5" t="s">
        <v>746</v>
      </c>
      <c r="B158" s="16" t="s">
        <v>68</v>
      </c>
      <c r="C158" s="16" t="s">
        <v>173</v>
      </c>
      <c r="D158" s="16" t="s">
        <v>583</v>
      </c>
      <c r="E158" s="21">
        <v>1</v>
      </c>
      <c r="F158" s="21">
        <f>IFERROR(INDEX(competency_model!$F$2:$F$25,MATCH(C158,competency_model!$A$2:$A$25,0)),"")</f>
        <v>3</v>
      </c>
      <c r="G158" s="21">
        <f t="shared" si="2"/>
        <v>2</v>
      </c>
      <c r="H158" s="23">
        <v>45885</v>
      </c>
      <c r="I158" s="16" t="s">
        <v>222</v>
      </c>
      <c r="J158" s="6" t="s">
        <v>584</v>
      </c>
    </row>
    <row r="159" spans="1:10" ht="15" customHeight="1">
      <c r="A159" s="5" t="s">
        <v>747</v>
      </c>
      <c r="B159" s="16" t="s">
        <v>68</v>
      </c>
      <c r="C159" s="16" t="s">
        <v>173</v>
      </c>
      <c r="D159" s="16" t="s">
        <v>586</v>
      </c>
      <c r="E159" s="21">
        <v>1</v>
      </c>
      <c r="F159" s="21">
        <f>IFERROR(INDEX(competency_model!$F$2:$F$25,MATCH(C159,competency_model!$A$2:$A$25,0)),"")</f>
        <v>3</v>
      </c>
      <c r="G159" s="21">
        <f t="shared" si="2"/>
        <v>2</v>
      </c>
      <c r="H159" s="23">
        <v>45985</v>
      </c>
      <c r="I159" s="16" t="s">
        <v>228</v>
      </c>
      <c r="J159" s="6" t="s">
        <v>587</v>
      </c>
    </row>
    <row r="160" spans="1:10" ht="15" customHeight="1">
      <c r="A160" s="5" t="s">
        <v>748</v>
      </c>
      <c r="B160" s="16" t="s">
        <v>68</v>
      </c>
      <c r="C160" s="16" t="s">
        <v>173</v>
      </c>
      <c r="D160" s="16" t="s">
        <v>589</v>
      </c>
      <c r="E160" s="21">
        <v>2</v>
      </c>
      <c r="F160" s="21">
        <f>IFERROR(INDEX(competency_model!$F$2:$F$25,MATCH(C160,competency_model!$A$2:$A$25,0)),"")</f>
        <v>3</v>
      </c>
      <c r="G160" s="21">
        <f t="shared" si="2"/>
        <v>1</v>
      </c>
      <c r="H160" s="23">
        <v>46068</v>
      </c>
      <c r="I160" s="16" t="s">
        <v>228</v>
      </c>
      <c r="J160" s="6" t="s">
        <v>587</v>
      </c>
    </row>
    <row r="161" spans="1:10" ht="15" customHeight="1">
      <c r="A161" s="5" t="s">
        <v>749</v>
      </c>
      <c r="B161" s="16" t="s">
        <v>68</v>
      </c>
      <c r="C161" s="16" t="s">
        <v>173</v>
      </c>
      <c r="D161" s="16" t="s">
        <v>591</v>
      </c>
      <c r="E161" s="21">
        <v>3</v>
      </c>
      <c r="F161" s="21">
        <f>IFERROR(INDEX(competency_model!$F$2:$F$25,MATCH(C161,competency_model!$A$2:$A$25,0)),"")</f>
        <v>3</v>
      </c>
      <c r="G161" s="21">
        <f t="shared" si="2"/>
        <v>0</v>
      </c>
      <c r="H161" s="23">
        <v>46146</v>
      </c>
      <c r="I161" s="16" t="s">
        <v>222</v>
      </c>
      <c r="J161" s="6" t="s">
        <v>596</v>
      </c>
    </row>
    <row r="162" spans="1:10" ht="15" customHeight="1">
      <c r="A162" s="5" t="s">
        <v>750</v>
      </c>
      <c r="B162" s="16" t="s">
        <v>68</v>
      </c>
      <c r="C162" s="16" t="s">
        <v>151</v>
      </c>
      <c r="D162" s="16" t="s">
        <v>583</v>
      </c>
      <c r="E162" s="21">
        <v>1</v>
      </c>
      <c r="F162" s="21">
        <f>IFERROR(INDEX(competency_model!$F$2:$F$25,MATCH(C162,competency_model!$A$2:$A$25,0)),"")</f>
        <v>3</v>
      </c>
      <c r="G162" s="21">
        <f t="shared" si="2"/>
        <v>2</v>
      </c>
      <c r="H162" s="23">
        <v>45886</v>
      </c>
      <c r="I162" s="16" t="s">
        <v>228</v>
      </c>
      <c r="J162" s="6" t="s">
        <v>592</v>
      </c>
    </row>
    <row r="163" spans="1:10" ht="15" customHeight="1">
      <c r="A163" s="5" t="s">
        <v>751</v>
      </c>
      <c r="B163" s="16" t="s">
        <v>68</v>
      </c>
      <c r="C163" s="16" t="s">
        <v>151</v>
      </c>
      <c r="D163" s="16" t="s">
        <v>586</v>
      </c>
      <c r="E163" s="21">
        <v>1</v>
      </c>
      <c r="F163" s="21">
        <f>IFERROR(INDEX(competency_model!$F$2:$F$25,MATCH(C163,competency_model!$A$2:$A$25,0)),"")</f>
        <v>3</v>
      </c>
      <c r="G163" s="21">
        <f t="shared" si="2"/>
        <v>2</v>
      </c>
      <c r="H163" s="23">
        <v>45982</v>
      </c>
      <c r="I163" s="16" t="s">
        <v>228</v>
      </c>
      <c r="J163" s="6" t="s">
        <v>596</v>
      </c>
    </row>
    <row r="164" spans="1:10" ht="15" customHeight="1">
      <c r="A164" s="5" t="s">
        <v>752</v>
      </c>
      <c r="B164" s="16" t="s">
        <v>68</v>
      </c>
      <c r="C164" s="16" t="s">
        <v>151</v>
      </c>
      <c r="D164" s="16" t="s">
        <v>589</v>
      </c>
      <c r="E164" s="21">
        <v>1</v>
      </c>
      <c r="F164" s="21">
        <f>IFERROR(INDEX(competency_model!$F$2:$F$25,MATCH(C164,competency_model!$A$2:$A$25,0)),"")</f>
        <v>3</v>
      </c>
      <c r="G164" s="21">
        <f t="shared" si="2"/>
        <v>2</v>
      </c>
      <c r="H164" s="23">
        <v>46069</v>
      </c>
      <c r="I164" s="16" t="s">
        <v>228</v>
      </c>
      <c r="J164" s="6" t="s">
        <v>596</v>
      </c>
    </row>
    <row r="165" spans="1:10" ht="15" customHeight="1">
      <c r="A165" s="5" t="s">
        <v>753</v>
      </c>
      <c r="B165" s="16" t="s">
        <v>68</v>
      </c>
      <c r="C165" s="16" t="s">
        <v>151</v>
      </c>
      <c r="D165" s="16" t="s">
        <v>591</v>
      </c>
      <c r="E165" s="21">
        <v>2</v>
      </c>
      <c r="F165" s="21">
        <f>IFERROR(INDEX(competency_model!$F$2:$F$25,MATCH(C165,competency_model!$A$2:$A$25,0)),"")</f>
        <v>3</v>
      </c>
      <c r="G165" s="21">
        <f t="shared" si="2"/>
        <v>1</v>
      </c>
      <c r="H165" s="23">
        <v>46157</v>
      </c>
      <c r="I165" s="16" t="s">
        <v>222</v>
      </c>
      <c r="J165" s="6" t="s">
        <v>584</v>
      </c>
    </row>
    <row r="166" spans="1:10" ht="15" customHeight="1">
      <c r="A166" s="5" t="s">
        <v>754</v>
      </c>
      <c r="B166" s="16" t="s">
        <v>68</v>
      </c>
      <c r="C166" s="16" t="s">
        <v>178</v>
      </c>
      <c r="D166" s="16" t="s">
        <v>583</v>
      </c>
      <c r="E166" s="21">
        <v>1</v>
      </c>
      <c r="F166" s="21">
        <f>IFERROR(INDEX(competency_model!$F$2:$F$25,MATCH(C166,competency_model!$A$2:$A$25,0)),"")</f>
        <v>3</v>
      </c>
      <c r="G166" s="21">
        <f t="shared" si="2"/>
        <v>2</v>
      </c>
      <c r="H166" s="23">
        <v>45894</v>
      </c>
      <c r="I166" s="16" t="s">
        <v>228</v>
      </c>
      <c r="J166" s="6" t="s">
        <v>596</v>
      </c>
    </row>
    <row r="167" spans="1:10" ht="15" customHeight="1">
      <c r="A167" s="5" t="s">
        <v>755</v>
      </c>
      <c r="B167" s="16" t="s">
        <v>68</v>
      </c>
      <c r="C167" s="16" t="s">
        <v>178</v>
      </c>
      <c r="D167" s="16" t="s">
        <v>586</v>
      </c>
      <c r="E167" s="21">
        <v>1</v>
      </c>
      <c r="F167" s="21">
        <f>IFERROR(INDEX(competency_model!$F$2:$F$25,MATCH(C167,competency_model!$A$2:$A$25,0)),"")</f>
        <v>3</v>
      </c>
      <c r="G167" s="21">
        <f t="shared" si="2"/>
        <v>2</v>
      </c>
      <c r="H167" s="23">
        <v>45974</v>
      </c>
      <c r="I167" s="16" t="s">
        <v>225</v>
      </c>
      <c r="J167" s="6" t="s">
        <v>584</v>
      </c>
    </row>
    <row r="168" spans="1:10" ht="15" customHeight="1">
      <c r="A168" s="5" t="s">
        <v>756</v>
      </c>
      <c r="B168" s="16" t="s">
        <v>68</v>
      </c>
      <c r="C168" s="16" t="s">
        <v>178</v>
      </c>
      <c r="D168" s="16" t="s">
        <v>589</v>
      </c>
      <c r="E168" s="21">
        <v>1</v>
      </c>
      <c r="F168" s="21">
        <f>IFERROR(INDEX(competency_model!$F$2:$F$25,MATCH(C168,competency_model!$A$2:$A$25,0)),"")</f>
        <v>3</v>
      </c>
      <c r="G168" s="21">
        <f t="shared" si="2"/>
        <v>2</v>
      </c>
      <c r="H168" s="23">
        <v>46078</v>
      </c>
      <c r="I168" s="16" t="s">
        <v>228</v>
      </c>
      <c r="J168" s="6" t="s">
        <v>584</v>
      </c>
    </row>
    <row r="169" spans="1:10" ht="15" customHeight="1">
      <c r="A169" s="5" t="s">
        <v>757</v>
      </c>
      <c r="B169" s="16" t="s">
        <v>68</v>
      </c>
      <c r="C169" s="16" t="s">
        <v>178</v>
      </c>
      <c r="D169" s="16" t="s">
        <v>591</v>
      </c>
      <c r="E169" s="21">
        <v>3</v>
      </c>
      <c r="F169" s="21">
        <f>IFERROR(INDEX(competency_model!$F$2:$F$25,MATCH(C169,competency_model!$A$2:$A$25,0)),"")</f>
        <v>3</v>
      </c>
      <c r="G169" s="21">
        <f t="shared" si="2"/>
        <v>0</v>
      </c>
      <c r="H169" s="23">
        <v>46164</v>
      </c>
      <c r="I169" s="16" t="s">
        <v>222</v>
      </c>
      <c r="J169" s="6" t="s">
        <v>584</v>
      </c>
    </row>
    <row r="170" spans="1:10" ht="15" customHeight="1">
      <c r="A170" s="5" t="s">
        <v>758</v>
      </c>
      <c r="B170" s="16" t="s">
        <v>68</v>
      </c>
      <c r="C170" s="16" t="s">
        <v>197</v>
      </c>
      <c r="D170" s="16" t="s">
        <v>583</v>
      </c>
      <c r="E170" s="21">
        <v>1</v>
      </c>
      <c r="F170" s="21">
        <f>IFERROR(INDEX(competency_model!$F$2:$F$25,MATCH(C170,competency_model!$A$2:$A$25,0)),"")</f>
        <v>3</v>
      </c>
      <c r="G170" s="21">
        <f t="shared" si="2"/>
        <v>2</v>
      </c>
      <c r="H170" s="23">
        <v>45895</v>
      </c>
      <c r="I170" s="16" t="s">
        <v>225</v>
      </c>
      <c r="J170" s="6" t="s">
        <v>596</v>
      </c>
    </row>
    <row r="171" spans="1:10" ht="15" customHeight="1">
      <c r="A171" s="5" t="s">
        <v>759</v>
      </c>
      <c r="B171" s="16" t="s">
        <v>68</v>
      </c>
      <c r="C171" s="16" t="s">
        <v>197</v>
      </c>
      <c r="D171" s="16" t="s">
        <v>586</v>
      </c>
      <c r="E171" s="21">
        <v>1</v>
      </c>
      <c r="F171" s="21">
        <f>IFERROR(INDEX(competency_model!$F$2:$F$25,MATCH(C171,competency_model!$A$2:$A$25,0)),"")</f>
        <v>3</v>
      </c>
      <c r="G171" s="21">
        <f t="shared" si="2"/>
        <v>2</v>
      </c>
      <c r="H171" s="23">
        <v>45965</v>
      </c>
      <c r="I171" s="16" t="s">
        <v>222</v>
      </c>
      <c r="J171" s="6" t="s">
        <v>592</v>
      </c>
    </row>
    <row r="172" spans="1:10" ht="15" customHeight="1">
      <c r="A172" s="5" t="s">
        <v>760</v>
      </c>
      <c r="B172" s="16" t="s">
        <v>68</v>
      </c>
      <c r="C172" s="16" t="s">
        <v>197</v>
      </c>
      <c r="D172" s="16" t="s">
        <v>589</v>
      </c>
      <c r="E172" s="21">
        <v>2</v>
      </c>
      <c r="F172" s="21">
        <f>IFERROR(INDEX(competency_model!$F$2:$F$25,MATCH(C172,competency_model!$A$2:$A$25,0)),"")</f>
        <v>3</v>
      </c>
      <c r="G172" s="21">
        <f t="shared" si="2"/>
        <v>1</v>
      </c>
      <c r="H172" s="23">
        <v>46056</v>
      </c>
      <c r="I172" s="16" t="s">
        <v>225</v>
      </c>
      <c r="J172" s="6" t="s">
        <v>584</v>
      </c>
    </row>
    <row r="173" spans="1:10" ht="15" customHeight="1">
      <c r="A173" s="5" t="s">
        <v>761</v>
      </c>
      <c r="B173" s="16" t="s">
        <v>68</v>
      </c>
      <c r="C173" s="16" t="s">
        <v>197</v>
      </c>
      <c r="D173" s="16" t="s">
        <v>591</v>
      </c>
      <c r="E173" s="21">
        <v>4</v>
      </c>
      <c r="F173" s="21">
        <f>IFERROR(INDEX(competency_model!$F$2:$F$25,MATCH(C173,competency_model!$A$2:$A$25,0)),"")</f>
        <v>3</v>
      </c>
      <c r="G173" s="21">
        <f t="shared" si="2"/>
        <v>0</v>
      </c>
      <c r="H173" s="23">
        <v>46152</v>
      </c>
      <c r="I173" s="16" t="s">
        <v>228</v>
      </c>
      <c r="J173" s="6" t="s">
        <v>584</v>
      </c>
    </row>
    <row r="174" spans="1:10" ht="15" customHeight="1">
      <c r="A174" s="5" t="s">
        <v>762</v>
      </c>
      <c r="B174" s="16" t="s">
        <v>68</v>
      </c>
      <c r="C174" s="16" t="s">
        <v>183</v>
      </c>
      <c r="D174" s="16" t="s">
        <v>583</v>
      </c>
      <c r="E174" s="21">
        <v>1</v>
      </c>
      <c r="F174" s="21">
        <f>IFERROR(INDEX(competency_model!$F$2:$F$25,MATCH(C174,competency_model!$A$2:$A$25,0)),"")</f>
        <v>3</v>
      </c>
      <c r="G174" s="21">
        <f t="shared" si="2"/>
        <v>2</v>
      </c>
      <c r="H174" s="23">
        <v>45877</v>
      </c>
      <c r="I174" s="16" t="s">
        <v>228</v>
      </c>
      <c r="J174" s="6" t="s">
        <v>596</v>
      </c>
    </row>
    <row r="175" spans="1:10" ht="15" customHeight="1">
      <c r="A175" s="5" t="s">
        <v>763</v>
      </c>
      <c r="B175" s="16" t="s">
        <v>68</v>
      </c>
      <c r="C175" s="16" t="s">
        <v>183</v>
      </c>
      <c r="D175" s="16" t="s">
        <v>586</v>
      </c>
      <c r="E175" s="21">
        <v>2</v>
      </c>
      <c r="F175" s="21">
        <f>IFERROR(INDEX(competency_model!$F$2:$F$25,MATCH(C175,competency_model!$A$2:$A$25,0)),"")</f>
        <v>3</v>
      </c>
      <c r="G175" s="21">
        <f t="shared" si="2"/>
        <v>1</v>
      </c>
      <c r="H175" s="23">
        <v>45985</v>
      </c>
      <c r="I175" s="16" t="s">
        <v>228</v>
      </c>
      <c r="J175" s="6" t="s">
        <v>584</v>
      </c>
    </row>
    <row r="176" spans="1:10" ht="15" customHeight="1">
      <c r="A176" s="5" t="s">
        <v>764</v>
      </c>
      <c r="B176" s="16" t="s">
        <v>68</v>
      </c>
      <c r="C176" s="16" t="s">
        <v>183</v>
      </c>
      <c r="D176" s="16" t="s">
        <v>589</v>
      </c>
      <c r="E176" s="21">
        <v>3</v>
      </c>
      <c r="F176" s="21">
        <f>IFERROR(INDEX(competency_model!$F$2:$F$25,MATCH(C176,competency_model!$A$2:$A$25,0)),"")</f>
        <v>3</v>
      </c>
      <c r="G176" s="21">
        <f t="shared" si="2"/>
        <v>0</v>
      </c>
      <c r="H176" s="23">
        <v>46065</v>
      </c>
      <c r="I176" s="16" t="s">
        <v>228</v>
      </c>
      <c r="J176" s="6" t="s">
        <v>584</v>
      </c>
    </row>
    <row r="177" spans="1:10" ht="15" customHeight="1">
      <c r="A177" s="5" t="s">
        <v>765</v>
      </c>
      <c r="B177" s="16" t="s">
        <v>68</v>
      </c>
      <c r="C177" s="16" t="s">
        <v>183</v>
      </c>
      <c r="D177" s="16" t="s">
        <v>591</v>
      </c>
      <c r="E177" s="21">
        <v>4</v>
      </c>
      <c r="F177" s="21">
        <f>IFERROR(INDEX(competency_model!$F$2:$F$25,MATCH(C177,competency_model!$A$2:$A$25,0)),"")</f>
        <v>3</v>
      </c>
      <c r="G177" s="21">
        <f t="shared" si="2"/>
        <v>0</v>
      </c>
      <c r="H177" s="23">
        <v>46145</v>
      </c>
      <c r="I177" s="16" t="s">
        <v>228</v>
      </c>
      <c r="J177" s="6" t="s">
        <v>587</v>
      </c>
    </row>
    <row r="178" spans="1:10" ht="15" customHeight="1">
      <c r="A178" s="5" t="s">
        <v>766</v>
      </c>
      <c r="B178" s="16" t="s">
        <v>68</v>
      </c>
      <c r="C178" s="16" t="s">
        <v>175</v>
      </c>
      <c r="D178" s="16" t="s">
        <v>583</v>
      </c>
      <c r="E178" s="21">
        <v>2</v>
      </c>
      <c r="F178" s="21">
        <f>IFERROR(INDEX(competency_model!$F$2:$F$25,MATCH(C178,competency_model!$A$2:$A$25,0)),"")</f>
        <v>4</v>
      </c>
      <c r="G178" s="21">
        <f t="shared" si="2"/>
        <v>2</v>
      </c>
      <c r="H178" s="23">
        <v>45880</v>
      </c>
      <c r="I178" s="16" t="s">
        <v>228</v>
      </c>
      <c r="J178" s="6" t="s">
        <v>584</v>
      </c>
    </row>
    <row r="179" spans="1:10" ht="15" customHeight="1">
      <c r="A179" s="5" t="s">
        <v>767</v>
      </c>
      <c r="B179" s="16" t="s">
        <v>68</v>
      </c>
      <c r="C179" s="16" t="s">
        <v>175</v>
      </c>
      <c r="D179" s="16" t="s">
        <v>586</v>
      </c>
      <c r="E179" s="21">
        <v>3</v>
      </c>
      <c r="F179" s="21">
        <f>IFERROR(INDEX(competency_model!$F$2:$F$25,MATCH(C179,competency_model!$A$2:$A$25,0)),"")</f>
        <v>4</v>
      </c>
      <c r="G179" s="21">
        <f t="shared" si="2"/>
        <v>1</v>
      </c>
      <c r="H179" s="23">
        <v>45983</v>
      </c>
      <c r="I179" s="16" t="s">
        <v>225</v>
      </c>
      <c r="J179" s="6" t="s">
        <v>596</v>
      </c>
    </row>
    <row r="180" spans="1:10" ht="15" customHeight="1">
      <c r="A180" s="5" t="s">
        <v>768</v>
      </c>
      <c r="B180" s="16" t="s">
        <v>68</v>
      </c>
      <c r="C180" s="16" t="s">
        <v>175</v>
      </c>
      <c r="D180" s="16" t="s">
        <v>589</v>
      </c>
      <c r="E180" s="21">
        <v>4</v>
      </c>
      <c r="F180" s="21">
        <f>IFERROR(INDEX(competency_model!$F$2:$F$25,MATCH(C180,competency_model!$A$2:$A$25,0)),"")</f>
        <v>4</v>
      </c>
      <c r="G180" s="21">
        <f t="shared" si="2"/>
        <v>0</v>
      </c>
      <c r="H180" s="23">
        <v>46066</v>
      </c>
      <c r="I180" s="16" t="s">
        <v>225</v>
      </c>
      <c r="J180" s="6" t="s">
        <v>592</v>
      </c>
    </row>
    <row r="181" spans="1:10" ht="15" customHeight="1">
      <c r="A181" s="5" t="s">
        <v>769</v>
      </c>
      <c r="B181" s="16" t="s">
        <v>68</v>
      </c>
      <c r="C181" s="16" t="s">
        <v>175</v>
      </c>
      <c r="D181" s="16" t="s">
        <v>591</v>
      </c>
      <c r="E181" s="21">
        <v>5</v>
      </c>
      <c r="F181" s="21">
        <f>IFERROR(INDEX(competency_model!$F$2:$F$25,MATCH(C181,competency_model!$A$2:$A$25,0)),"")</f>
        <v>4</v>
      </c>
      <c r="G181" s="21">
        <f t="shared" si="2"/>
        <v>0</v>
      </c>
      <c r="H181" s="23">
        <v>46169</v>
      </c>
      <c r="I181" s="16" t="s">
        <v>225</v>
      </c>
      <c r="J181" s="6" t="s">
        <v>592</v>
      </c>
    </row>
    <row r="182" spans="1:10" ht="15" customHeight="1">
      <c r="A182" s="5" t="s">
        <v>770</v>
      </c>
      <c r="B182" s="16" t="s">
        <v>71</v>
      </c>
      <c r="C182" s="16" t="s">
        <v>197</v>
      </c>
      <c r="D182" s="16" t="s">
        <v>583</v>
      </c>
      <c r="E182" s="21">
        <v>1</v>
      </c>
      <c r="F182" s="21">
        <f>IFERROR(INDEX(competency_model!$F$2:$F$25,MATCH(C182,competency_model!$A$2:$A$25,0)),"")</f>
        <v>3</v>
      </c>
      <c r="G182" s="21">
        <f t="shared" si="2"/>
        <v>2</v>
      </c>
      <c r="H182" s="23">
        <v>45893</v>
      </c>
      <c r="I182" s="16" t="s">
        <v>225</v>
      </c>
      <c r="J182" s="6" t="s">
        <v>587</v>
      </c>
    </row>
    <row r="183" spans="1:10" ht="15" customHeight="1">
      <c r="A183" s="5" t="s">
        <v>771</v>
      </c>
      <c r="B183" s="16" t="s">
        <v>71</v>
      </c>
      <c r="C183" s="16" t="s">
        <v>197</v>
      </c>
      <c r="D183" s="16" t="s">
        <v>586</v>
      </c>
      <c r="E183" s="21">
        <v>1</v>
      </c>
      <c r="F183" s="21">
        <f>IFERROR(INDEX(competency_model!$F$2:$F$25,MATCH(C183,competency_model!$A$2:$A$25,0)),"")</f>
        <v>3</v>
      </c>
      <c r="G183" s="21">
        <f t="shared" si="2"/>
        <v>2</v>
      </c>
      <c r="H183" s="23">
        <v>45978</v>
      </c>
      <c r="I183" s="16" t="s">
        <v>228</v>
      </c>
      <c r="J183" s="6" t="s">
        <v>587</v>
      </c>
    </row>
    <row r="184" spans="1:10" ht="15" customHeight="1">
      <c r="A184" s="5" t="s">
        <v>772</v>
      </c>
      <c r="B184" s="16" t="s">
        <v>71</v>
      </c>
      <c r="C184" s="16" t="s">
        <v>197</v>
      </c>
      <c r="D184" s="16" t="s">
        <v>589</v>
      </c>
      <c r="E184" s="21">
        <v>2</v>
      </c>
      <c r="F184" s="21">
        <f>IFERROR(INDEX(competency_model!$F$2:$F$25,MATCH(C184,competency_model!$A$2:$A$25,0)),"")</f>
        <v>3</v>
      </c>
      <c r="G184" s="21">
        <f t="shared" si="2"/>
        <v>1</v>
      </c>
      <c r="H184" s="23">
        <v>46063</v>
      </c>
      <c r="I184" s="16" t="s">
        <v>225</v>
      </c>
      <c r="J184" s="6" t="s">
        <v>584</v>
      </c>
    </row>
    <row r="185" spans="1:10" ht="15" customHeight="1">
      <c r="A185" s="5" t="s">
        <v>773</v>
      </c>
      <c r="B185" s="16" t="s">
        <v>71</v>
      </c>
      <c r="C185" s="16" t="s">
        <v>197</v>
      </c>
      <c r="D185" s="16" t="s">
        <v>591</v>
      </c>
      <c r="E185" s="21">
        <v>3</v>
      </c>
      <c r="F185" s="21">
        <f>IFERROR(INDEX(competency_model!$F$2:$F$25,MATCH(C185,competency_model!$A$2:$A$25,0)),"")</f>
        <v>3</v>
      </c>
      <c r="G185" s="21">
        <f t="shared" si="2"/>
        <v>0</v>
      </c>
      <c r="H185" s="23">
        <v>46157</v>
      </c>
      <c r="I185" s="16" t="s">
        <v>222</v>
      </c>
      <c r="J185" s="6" t="s">
        <v>596</v>
      </c>
    </row>
    <row r="186" spans="1:10" ht="15" customHeight="1">
      <c r="A186" s="5" t="s">
        <v>774</v>
      </c>
      <c r="B186" s="16" t="s">
        <v>71</v>
      </c>
      <c r="C186" s="16" t="s">
        <v>202</v>
      </c>
      <c r="D186" s="16" t="s">
        <v>583</v>
      </c>
      <c r="E186" s="21">
        <v>1</v>
      </c>
      <c r="F186" s="21">
        <f>IFERROR(INDEX(competency_model!$F$2:$F$25,MATCH(C186,competency_model!$A$2:$A$25,0)),"")</f>
        <v>3</v>
      </c>
      <c r="G186" s="21">
        <f t="shared" si="2"/>
        <v>2</v>
      </c>
      <c r="H186" s="23">
        <v>45892</v>
      </c>
      <c r="I186" s="16" t="s">
        <v>228</v>
      </c>
      <c r="J186" s="6" t="s">
        <v>592</v>
      </c>
    </row>
    <row r="187" spans="1:10" ht="15" customHeight="1">
      <c r="A187" s="5" t="s">
        <v>775</v>
      </c>
      <c r="B187" s="16" t="s">
        <v>71</v>
      </c>
      <c r="C187" s="16" t="s">
        <v>202</v>
      </c>
      <c r="D187" s="16" t="s">
        <v>586</v>
      </c>
      <c r="E187" s="21">
        <v>1</v>
      </c>
      <c r="F187" s="21">
        <f>IFERROR(INDEX(competency_model!$F$2:$F$25,MATCH(C187,competency_model!$A$2:$A$25,0)),"")</f>
        <v>3</v>
      </c>
      <c r="G187" s="21">
        <f t="shared" si="2"/>
        <v>2</v>
      </c>
      <c r="H187" s="23">
        <v>45975</v>
      </c>
      <c r="I187" s="16" t="s">
        <v>228</v>
      </c>
      <c r="J187" s="6" t="s">
        <v>587</v>
      </c>
    </row>
    <row r="188" spans="1:10" ht="15" customHeight="1">
      <c r="A188" s="5" t="s">
        <v>776</v>
      </c>
      <c r="B188" s="16" t="s">
        <v>71</v>
      </c>
      <c r="C188" s="16" t="s">
        <v>202</v>
      </c>
      <c r="D188" s="16" t="s">
        <v>589</v>
      </c>
      <c r="E188" s="21">
        <v>3</v>
      </c>
      <c r="F188" s="21">
        <f>IFERROR(INDEX(competency_model!$F$2:$F$25,MATCH(C188,competency_model!$A$2:$A$25,0)),"")</f>
        <v>3</v>
      </c>
      <c r="G188" s="21">
        <f t="shared" si="2"/>
        <v>0</v>
      </c>
      <c r="H188" s="23">
        <v>46075</v>
      </c>
      <c r="I188" s="16" t="s">
        <v>222</v>
      </c>
      <c r="J188" s="6" t="s">
        <v>592</v>
      </c>
    </row>
    <row r="189" spans="1:10" ht="15" customHeight="1">
      <c r="A189" s="5" t="s">
        <v>777</v>
      </c>
      <c r="B189" s="16" t="s">
        <v>71</v>
      </c>
      <c r="C189" s="16" t="s">
        <v>202</v>
      </c>
      <c r="D189" s="16" t="s">
        <v>591</v>
      </c>
      <c r="E189" s="21">
        <v>3</v>
      </c>
      <c r="F189" s="21">
        <f>IFERROR(INDEX(competency_model!$F$2:$F$25,MATCH(C189,competency_model!$A$2:$A$25,0)),"")</f>
        <v>3</v>
      </c>
      <c r="G189" s="21">
        <f t="shared" si="2"/>
        <v>0</v>
      </c>
      <c r="H189" s="23">
        <v>46159</v>
      </c>
      <c r="I189" s="16" t="s">
        <v>228</v>
      </c>
      <c r="J189" s="6" t="s">
        <v>587</v>
      </c>
    </row>
    <row r="190" spans="1:10" ht="15" customHeight="1">
      <c r="A190" s="5" t="s">
        <v>778</v>
      </c>
      <c r="B190" s="16" t="s">
        <v>71</v>
      </c>
      <c r="C190" s="16" t="s">
        <v>178</v>
      </c>
      <c r="D190" s="16" t="s">
        <v>583</v>
      </c>
      <c r="E190" s="21">
        <v>1</v>
      </c>
      <c r="F190" s="21">
        <f>IFERROR(INDEX(competency_model!$F$2:$F$25,MATCH(C190,competency_model!$A$2:$A$25,0)),"")</f>
        <v>3</v>
      </c>
      <c r="G190" s="21">
        <f t="shared" si="2"/>
        <v>2</v>
      </c>
      <c r="H190" s="23">
        <v>45891</v>
      </c>
      <c r="I190" s="16" t="s">
        <v>228</v>
      </c>
      <c r="J190" s="6" t="s">
        <v>587</v>
      </c>
    </row>
    <row r="191" spans="1:10" ht="15" customHeight="1">
      <c r="A191" s="5" t="s">
        <v>779</v>
      </c>
      <c r="B191" s="16" t="s">
        <v>71</v>
      </c>
      <c r="C191" s="16" t="s">
        <v>178</v>
      </c>
      <c r="D191" s="16" t="s">
        <v>586</v>
      </c>
      <c r="E191" s="21">
        <v>1</v>
      </c>
      <c r="F191" s="21">
        <f>IFERROR(INDEX(competency_model!$F$2:$F$25,MATCH(C191,competency_model!$A$2:$A$25,0)),"")</f>
        <v>3</v>
      </c>
      <c r="G191" s="21">
        <f t="shared" si="2"/>
        <v>2</v>
      </c>
      <c r="H191" s="23">
        <v>45984</v>
      </c>
      <c r="I191" s="16" t="s">
        <v>225</v>
      </c>
      <c r="J191" s="6" t="s">
        <v>584</v>
      </c>
    </row>
    <row r="192" spans="1:10" ht="15" customHeight="1">
      <c r="A192" s="5" t="s">
        <v>780</v>
      </c>
      <c r="B192" s="16" t="s">
        <v>71</v>
      </c>
      <c r="C192" s="16" t="s">
        <v>178</v>
      </c>
      <c r="D192" s="16" t="s">
        <v>589</v>
      </c>
      <c r="E192" s="21">
        <v>3</v>
      </c>
      <c r="F192" s="21">
        <f>IFERROR(INDEX(competency_model!$F$2:$F$25,MATCH(C192,competency_model!$A$2:$A$25,0)),"")</f>
        <v>3</v>
      </c>
      <c r="G192" s="21">
        <f t="shared" si="2"/>
        <v>0</v>
      </c>
      <c r="H192" s="23">
        <v>46056</v>
      </c>
      <c r="I192" s="16" t="s">
        <v>228</v>
      </c>
      <c r="J192" s="6" t="s">
        <v>584</v>
      </c>
    </row>
    <row r="193" spans="1:10" ht="15" customHeight="1">
      <c r="A193" s="5" t="s">
        <v>781</v>
      </c>
      <c r="B193" s="16" t="s">
        <v>71</v>
      </c>
      <c r="C193" s="16" t="s">
        <v>178</v>
      </c>
      <c r="D193" s="16" t="s">
        <v>591</v>
      </c>
      <c r="E193" s="21">
        <v>4</v>
      </c>
      <c r="F193" s="21">
        <f>IFERROR(INDEX(competency_model!$F$2:$F$25,MATCH(C193,competency_model!$A$2:$A$25,0)),"")</f>
        <v>3</v>
      </c>
      <c r="G193" s="21">
        <f t="shared" si="2"/>
        <v>0</v>
      </c>
      <c r="H193" s="23">
        <v>46147</v>
      </c>
      <c r="I193" s="16" t="s">
        <v>222</v>
      </c>
      <c r="J193" s="6" t="s">
        <v>596</v>
      </c>
    </row>
    <row r="194" spans="1:10" ht="15" customHeight="1">
      <c r="A194" s="5" t="s">
        <v>782</v>
      </c>
      <c r="B194" s="16" t="s">
        <v>71</v>
      </c>
      <c r="C194" s="16" t="s">
        <v>175</v>
      </c>
      <c r="D194" s="16" t="s">
        <v>583</v>
      </c>
      <c r="E194" s="21">
        <v>3</v>
      </c>
      <c r="F194" s="21">
        <f>IFERROR(INDEX(competency_model!$F$2:$F$25,MATCH(C194,competency_model!$A$2:$A$25,0)),"")</f>
        <v>4</v>
      </c>
      <c r="G194" s="21">
        <f t="shared" ref="G194:G257" si="3">MAX(0,F194-E194)</f>
        <v>1</v>
      </c>
      <c r="H194" s="23">
        <v>45888</v>
      </c>
      <c r="I194" s="16" t="s">
        <v>228</v>
      </c>
      <c r="J194" s="6" t="s">
        <v>596</v>
      </c>
    </row>
    <row r="195" spans="1:10" ht="15" customHeight="1">
      <c r="A195" s="5" t="s">
        <v>783</v>
      </c>
      <c r="B195" s="16" t="s">
        <v>71</v>
      </c>
      <c r="C195" s="16" t="s">
        <v>175</v>
      </c>
      <c r="D195" s="16" t="s">
        <v>586</v>
      </c>
      <c r="E195" s="21">
        <v>4</v>
      </c>
      <c r="F195" s="21">
        <f>IFERROR(INDEX(competency_model!$F$2:$F$25,MATCH(C195,competency_model!$A$2:$A$25,0)),"")</f>
        <v>4</v>
      </c>
      <c r="G195" s="21">
        <f t="shared" si="3"/>
        <v>0</v>
      </c>
      <c r="H195" s="23">
        <v>45972</v>
      </c>
      <c r="I195" s="16" t="s">
        <v>228</v>
      </c>
      <c r="J195" s="6" t="s">
        <v>592</v>
      </c>
    </row>
    <row r="196" spans="1:10" ht="15" customHeight="1">
      <c r="A196" s="5" t="s">
        <v>784</v>
      </c>
      <c r="B196" s="16" t="s">
        <v>71</v>
      </c>
      <c r="C196" s="16" t="s">
        <v>175</v>
      </c>
      <c r="D196" s="16" t="s">
        <v>589</v>
      </c>
      <c r="E196" s="21">
        <v>4</v>
      </c>
      <c r="F196" s="21">
        <f>IFERROR(INDEX(competency_model!$F$2:$F$25,MATCH(C196,competency_model!$A$2:$A$25,0)),"")</f>
        <v>4</v>
      </c>
      <c r="G196" s="21">
        <f t="shared" si="3"/>
        <v>0</v>
      </c>
      <c r="H196" s="23">
        <v>46062</v>
      </c>
      <c r="I196" s="16" t="s">
        <v>225</v>
      </c>
      <c r="J196" s="6" t="s">
        <v>592</v>
      </c>
    </row>
    <row r="197" spans="1:10" ht="15" customHeight="1">
      <c r="A197" s="5" t="s">
        <v>785</v>
      </c>
      <c r="B197" s="16" t="s">
        <v>71</v>
      </c>
      <c r="C197" s="16" t="s">
        <v>175</v>
      </c>
      <c r="D197" s="16" t="s">
        <v>591</v>
      </c>
      <c r="E197" s="21">
        <v>5</v>
      </c>
      <c r="F197" s="21">
        <f>IFERROR(INDEX(competency_model!$F$2:$F$25,MATCH(C197,competency_model!$A$2:$A$25,0)),"")</f>
        <v>4</v>
      </c>
      <c r="G197" s="21">
        <f t="shared" si="3"/>
        <v>0</v>
      </c>
      <c r="H197" s="23">
        <v>46154</v>
      </c>
      <c r="I197" s="16" t="s">
        <v>228</v>
      </c>
      <c r="J197" s="6" t="s">
        <v>587</v>
      </c>
    </row>
    <row r="198" spans="1:10" ht="15" customHeight="1">
      <c r="A198" s="5" t="s">
        <v>786</v>
      </c>
      <c r="B198" s="16" t="s">
        <v>71</v>
      </c>
      <c r="C198" s="16" t="s">
        <v>144</v>
      </c>
      <c r="D198" s="16" t="s">
        <v>583</v>
      </c>
      <c r="E198" s="21">
        <v>2</v>
      </c>
      <c r="F198" s="21">
        <f>IFERROR(INDEX(competency_model!$F$2:$F$25,MATCH(C198,competency_model!$A$2:$A$25,0)),"")</f>
        <v>4</v>
      </c>
      <c r="G198" s="21">
        <f t="shared" si="3"/>
        <v>2</v>
      </c>
      <c r="H198" s="23">
        <v>45881</v>
      </c>
      <c r="I198" s="16" t="s">
        <v>225</v>
      </c>
      <c r="J198" s="6" t="s">
        <v>592</v>
      </c>
    </row>
    <row r="199" spans="1:10" ht="15" customHeight="1">
      <c r="A199" s="5" t="s">
        <v>787</v>
      </c>
      <c r="B199" s="16" t="s">
        <v>71</v>
      </c>
      <c r="C199" s="16" t="s">
        <v>144</v>
      </c>
      <c r="D199" s="16" t="s">
        <v>586</v>
      </c>
      <c r="E199" s="21">
        <v>2</v>
      </c>
      <c r="F199" s="21">
        <f>IFERROR(INDEX(competency_model!$F$2:$F$25,MATCH(C199,competency_model!$A$2:$A$25,0)),"")</f>
        <v>4</v>
      </c>
      <c r="G199" s="21">
        <f t="shared" si="3"/>
        <v>2</v>
      </c>
      <c r="H199" s="23">
        <v>45976</v>
      </c>
      <c r="I199" s="16" t="s">
        <v>225</v>
      </c>
      <c r="J199" s="6" t="s">
        <v>584</v>
      </c>
    </row>
    <row r="200" spans="1:10" ht="15" customHeight="1">
      <c r="A200" s="5" t="s">
        <v>788</v>
      </c>
      <c r="B200" s="16" t="s">
        <v>71</v>
      </c>
      <c r="C200" s="16" t="s">
        <v>144</v>
      </c>
      <c r="D200" s="16" t="s">
        <v>589</v>
      </c>
      <c r="E200" s="21">
        <v>4</v>
      </c>
      <c r="F200" s="21">
        <f>IFERROR(INDEX(competency_model!$F$2:$F$25,MATCH(C200,competency_model!$A$2:$A$25,0)),"")</f>
        <v>4</v>
      </c>
      <c r="G200" s="21">
        <f t="shared" si="3"/>
        <v>0</v>
      </c>
      <c r="H200" s="23">
        <v>46076</v>
      </c>
      <c r="I200" s="16" t="s">
        <v>228</v>
      </c>
      <c r="J200" s="6" t="s">
        <v>587</v>
      </c>
    </row>
    <row r="201" spans="1:10" ht="15" customHeight="1">
      <c r="A201" s="5" t="s">
        <v>789</v>
      </c>
      <c r="B201" s="16" t="s">
        <v>71</v>
      </c>
      <c r="C201" s="16" t="s">
        <v>144</v>
      </c>
      <c r="D201" s="16" t="s">
        <v>591</v>
      </c>
      <c r="E201" s="21">
        <v>5</v>
      </c>
      <c r="F201" s="21">
        <f>IFERROR(INDEX(competency_model!$F$2:$F$25,MATCH(C201,competency_model!$A$2:$A$25,0)),"")</f>
        <v>4</v>
      </c>
      <c r="G201" s="21">
        <f t="shared" si="3"/>
        <v>0</v>
      </c>
      <c r="H201" s="23">
        <v>46145</v>
      </c>
      <c r="I201" s="16" t="s">
        <v>222</v>
      </c>
      <c r="J201" s="6" t="s">
        <v>596</v>
      </c>
    </row>
    <row r="202" spans="1:10" ht="15" customHeight="1">
      <c r="A202" s="5" t="s">
        <v>790</v>
      </c>
      <c r="B202" s="16" t="s">
        <v>71</v>
      </c>
      <c r="C202" s="16" t="s">
        <v>151</v>
      </c>
      <c r="D202" s="16" t="s">
        <v>583</v>
      </c>
      <c r="E202" s="21">
        <v>1</v>
      </c>
      <c r="F202" s="21">
        <f>IFERROR(INDEX(competency_model!$F$2:$F$25,MATCH(C202,competency_model!$A$2:$A$25,0)),"")</f>
        <v>3</v>
      </c>
      <c r="G202" s="21">
        <f t="shared" si="3"/>
        <v>2</v>
      </c>
      <c r="H202" s="23">
        <v>45892</v>
      </c>
      <c r="I202" s="16" t="s">
        <v>225</v>
      </c>
      <c r="J202" s="6" t="s">
        <v>584</v>
      </c>
    </row>
    <row r="203" spans="1:10" ht="15" customHeight="1">
      <c r="A203" s="5" t="s">
        <v>791</v>
      </c>
      <c r="B203" s="16" t="s">
        <v>71</v>
      </c>
      <c r="C203" s="16" t="s">
        <v>151</v>
      </c>
      <c r="D203" s="16" t="s">
        <v>586</v>
      </c>
      <c r="E203" s="21">
        <v>2</v>
      </c>
      <c r="F203" s="21">
        <f>IFERROR(INDEX(competency_model!$F$2:$F$25,MATCH(C203,competency_model!$A$2:$A$25,0)),"")</f>
        <v>3</v>
      </c>
      <c r="G203" s="21">
        <f t="shared" si="3"/>
        <v>1</v>
      </c>
      <c r="H203" s="23">
        <v>45975</v>
      </c>
      <c r="I203" s="16" t="s">
        <v>228</v>
      </c>
      <c r="J203" s="6" t="s">
        <v>592</v>
      </c>
    </row>
    <row r="204" spans="1:10" ht="15" customHeight="1">
      <c r="A204" s="5" t="s">
        <v>792</v>
      </c>
      <c r="B204" s="16" t="s">
        <v>71</v>
      </c>
      <c r="C204" s="16" t="s">
        <v>151</v>
      </c>
      <c r="D204" s="16" t="s">
        <v>589</v>
      </c>
      <c r="E204" s="21">
        <v>3</v>
      </c>
      <c r="F204" s="21">
        <f>IFERROR(INDEX(competency_model!$F$2:$F$25,MATCH(C204,competency_model!$A$2:$A$25,0)),"")</f>
        <v>3</v>
      </c>
      <c r="G204" s="21">
        <f t="shared" si="3"/>
        <v>0</v>
      </c>
      <c r="H204" s="23">
        <v>46075</v>
      </c>
      <c r="I204" s="16" t="s">
        <v>222</v>
      </c>
      <c r="J204" s="6" t="s">
        <v>584</v>
      </c>
    </row>
    <row r="205" spans="1:10" ht="15" customHeight="1">
      <c r="A205" s="5" t="s">
        <v>793</v>
      </c>
      <c r="B205" s="16" t="s">
        <v>71</v>
      </c>
      <c r="C205" s="16" t="s">
        <v>151</v>
      </c>
      <c r="D205" s="16" t="s">
        <v>591</v>
      </c>
      <c r="E205" s="21">
        <v>4</v>
      </c>
      <c r="F205" s="21">
        <f>IFERROR(INDEX(competency_model!$F$2:$F$25,MATCH(C205,competency_model!$A$2:$A$25,0)),"")</f>
        <v>3</v>
      </c>
      <c r="G205" s="21">
        <f t="shared" si="3"/>
        <v>0</v>
      </c>
      <c r="H205" s="23">
        <v>46164</v>
      </c>
      <c r="I205" s="16" t="s">
        <v>228</v>
      </c>
      <c r="J205" s="6" t="s">
        <v>587</v>
      </c>
    </row>
    <row r="206" spans="1:10" ht="15" customHeight="1">
      <c r="A206" s="5" t="s">
        <v>794</v>
      </c>
      <c r="B206" s="16" t="s">
        <v>71</v>
      </c>
      <c r="C206" s="16" t="s">
        <v>163</v>
      </c>
      <c r="D206" s="16" t="s">
        <v>583</v>
      </c>
      <c r="E206" s="21">
        <v>2</v>
      </c>
      <c r="F206" s="21">
        <f>IFERROR(INDEX(competency_model!$F$2:$F$25,MATCH(C206,competency_model!$A$2:$A$25,0)),"")</f>
        <v>4</v>
      </c>
      <c r="G206" s="21">
        <f t="shared" si="3"/>
        <v>2</v>
      </c>
      <c r="H206" s="23">
        <v>45884</v>
      </c>
      <c r="I206" s="16" t="s">
        <v>228</v>
      </c>
      <c r="J206" s="6" t="s">
        <v>596</v>
      </c>
    </row>
    <row r="207" spans="1:10" ht="15" customHeight="1">
      <c r="A207" s="5" t="s">
        <v>795</v>
      </c>
      <c r="B207" s="16" t="s">
        <v>71</v>
      </c>
      <c r="C207" s="16" t="s">
        <v>163</v>
      </c>
      <c r="D207" s="16" t="s">
        <v>586</v>
      </c>
      <c r="E207" s="21">
        <v>3</v>
      </c>
      <c r="F207" s="21">
        <f>IFERROR(INDEX(competency_model!$F$2:$F$25,MATCH(C207,competency_model!$A$2:$A$25,0)),"")</f>
        <v>4</v>
      </c>
      <c r="G207" s="21">
        <f t="shared" si="3"/>
        <v>1</v>
      </c>
      <c r="H207" s="23">
        <v>45966</v>
      </c>
      <c r="I207" s="16" t="s">
        <v>225</v>
      </c>
      <c r="J207" s="6" t="s">
        <v>584</v>
      </c>
    </row>
    <row r="208" spans="1:10" ht="15" customHeight="1">
      <c r="A208" s="5" t="s">
        <v>796</v>
      </c>
      <c r="B208" s="16" t="s">
        <v>71</v>
      </c>
      <c r="C208" s="16" t="s">
        <v>163</v>
      </c>
      <c r="D208" s="16" t="s">
        <v>589</v>
      </c>
      <c r="E208" s="21">
        <v>4</v>
      </c>
      <c r="F208" s="21">
        <f>IFERROR(INDEX(competency_model!$F$2:$F$25,MATCH(C208,competency_model!$A$2:$A$25,0)),"")</f>
        <v>4</v>
      </c>
      <c r="G208" s="21">
        <f t="shared" si="3"/>
        <v>0</v>
      </c>
      <c r="H208" s="23">
        <v>46079</v>
      </c>
      <c r="I208" s="16" t="s">
        <v>228</v>
      </c>
      <c r="J208" s="6" t="s">
        <v>592</v>
      </c>
    </row>
    <row r="209" spans="1:10" ht="15" customHeight="1">
      <c r="A209" s="5" t="s">
        <v>797</v>
      </c>
      <c r="B209" s="16" t="s">
        <v>71</v>
      </c>
      <c r="C209" s="16" t="s">
        <v>163</v>
      </c>
      <c r="D209" s="16" t="s">
        <v>591</v>
      </c>
      <c r="E209" s="21">
        <v>5</v>
      </c>
      <c r="F209" s="21">
        <f>IFERROR(INDEX(competency_model!$F$2:$F$25,MATCH(C209,competency_model!$A$2:$A$25,0)),"")</f>
        <v>4</v>
      </c>
      <c r="G209" s="21">
        <f t="shared" si="3"/>
        <v>0</v>
      </c>
      <c r="H209" s="23">
        <v>46157</v>
      </c>
      <c r="I209" s="16" t="s">
        <v>225</v>
      </c>
      <c r="J209" s="6" t="s">
        <v>592</v>
      </c>
    </row>
    <row r="210" spans="1:10" ht="15" customHeight="1">
      <c r="A210" s="5" t="s">
        <v>798</v>
      </c>
      <c r="B210" s="16" t="s">
        <v>71</v>
      </c>
      <c r="C210" s="16" t="s">
        <v>200</v>
      </c>
      <c r="D210" s="16" t="s">
        <v>583</v>
      </c>
      <c r="E210" s="21">
        <v>1</v>
      </c>
      <c r="F210" s="21">
        <f>IFERROR(INDEX(competency_model!$F$2:$F$25,MATCH(C210,competency_model!$A$2:$A$25,0)),"")</f>
        <v>4</v>
      </c>
      <c r="G210" s="21">
        <f t="shared" si="3"/>
        <v>3</v>
      </c>
      <c r="H210" s="23">
        <v>45884</v>
      </c>
      <c r="I210" s="16" t="s">
        <v>228</v>
      </c>
      <c r="J210" s="6" t="s">
        <v>587</v>
      </c>
    </row>
    <row r="211" spans="1:10" ht="15" customHeight="1">
      <c r="A211" s="5" t="s">
        <v>799</v>
      </c>
      <c r="B211" s="16" t="s">
        <v>71</v>
      </c>
      <c r="C211" s="16" t="s">
        <v>200</v>
      </c>
      <c r="D211" s="16" t="s">
        <v>586</v>
      </c>
      <c r="E211" s="21">
        <v>1</v>
      </c>
      <c r="F211" s="21">
        <f>IFERROR(INDEX(competency_model!$F$2:$F$25,MATCH(C211,competency_model!$A$2:$A$25,0)),"")</f>
        <v>4</v>
      </c>
      <c r="G211" s="21">
        <f t="shared" si="3"/>
        <v>3</v>
      </c>
      <c r="H211" s="23">
        <v>45976</v>
      </c>
      <c r="I211" s="16" t="s">
        <v>222</v>
      </c>
      <c r="J211" s="6" t="s">
        <v>587</v>
      </c>
    </row>
    <row r="212" spans="1:10" ht="15" customHeight="1">
      <c r="A212" s="5" t="s">
        <v>800</v>
      </c>
      <c r="B212" s="16" t="s">
        <v>71</v>
      </c>
      <c r="C212" s="16" t="s">
        <v>200</v>
      </c>
      <c r="D212" s="16" t="s">
        <v>589</v>
      </c>
      <c r="E212" s="21">
        <v>2</v>
      </c>
      <c r="F212" s="21">
        <f>IFERROR(INDEX(competency_model!$F$2:$F$25,MATCH(C212,competency_model!$A$2:$A$25,0)),"")</f>
        <v>4</v>
      </c>
      <c r="G212" s="21">
        <f t="shared" si="3"/>
        <v>2</v>
      </c>
      <c r="H212" s="23">
        <v>46066</v>
      </c>
      <c r="I212" s="16" t="s">
        <v>222</v>
      </c>
      <c r="J212" s="6" t="s">
        <v>587</v>
      </c>
    </row>
    <row r="213" spans="1:10" ht="15" customHeight="1">
      <c r="A213" s="5" t="s">
        <v>801</v>
      </c>
      <c r="B213" s="16" t="s">
        <v>71</v>
      </c>
      <c r="C213" s="16" t="s">
        <v>200</v>
      </c>
      <c r="D213" s="16" t="s">
        <v>591</v>
      </c>
      <c r="E213" s="21">
        <v>3</v>
      </c>
      <c r="F213" s="21">
        <f>IFERROR(INDEX(competency_model!$F$2:$F$25,MATCH(C213,competency_model!$A$2:$A$25,0)),"")</f>
        <v>4</v>
      </c>
      <c r="G213" s="21">
        <f t="shared" si="3"/>
        <v>1</v>
      </c>
      <c r="H213" s="23">
        <v>46159</v>
      </c>
      <c r="I213" s="16" t="s">
        <v>222</v>
      </c>
      <c r="J213" s="6" t="s">
        <v>587</v>
      </c>
    </row>
    <row r="214" spans="1:10" ht="15" customHeight="1">
      <c r="A214" s="5" t="s">
        <v>802</v>
      </c>
      <c r="B214" s="16" t="s">
        <v>74</v>
      </c>
      <c r="C214" s="16" t="s">
        <v>154</v>
      </c>
      <c r="D214" s="16" t="s">
        <v>583</v>
      </c>
      <c r="E214" s="21">
        <v>2</v>
      </c>
      <c r="F214" s="21">
        <f>IFERROR(INDEX(competency_model!$F$2:$F$25,MATCH(C214,competency_model!$A$2:$A$25,0)),"")</f>
        <v>4</v>
      </c>
      <c r="G214" s="21">
        <f t="shared" si="3"/>
        <v>2</v>
      </c>
      <c r="H214" s="23">
        <v>45880</v>
      </c>
      <c r="I214" s="16" t="s">
        <v>225</v>
      </c>
      <c r="J214" s="6" t="s">
        <v>596</v>
      </c>
    </row>
    <row r="215" spans="1:10" ht="15" customHeight="1">
      <c r="A215" s="5" t="s">
        <v>803</v>
      </c>
      <c r="B215" s="16" t="s">
        <v>74</v>
      </c>
      <c r="C215" s="16" t="s">
        <v>154</v>
      </c>
      <c r="D215" s="16" t="s">
        <v>586</v>
      </c>
      <c r="E215" s="21">
        <v>3</v>
      </c>
      <c r="F215" s="21">
        <f>IFERROR(INDEX(competency_model!$F$2:$F$25,MATCH(C215,competency_model!$A$2:$A$25,0)),"")</f>
        <v>4</v>
      </c>
      <c r="G215" s="21">
        <f t="shared" si="3"/>
        <v>1</v>
      </c>
      <c r="H215" s="23">
        <v>45988</v>
      </c>
      <c r="I215" s="16" t="s">
        <v>225</v>
      </c>
      <c r="J215" s="6" t="s">
        <v>596</v>
      </c>
    </row>
    <row r="216" spans="1:10" ht="15" customHeight="1">
      <c r="A216" s="5" t="s">
        <v>804</v>
      </c>
      <c r="B216" s="16" t="s">
        <v>74</v>
      </c>
      <c r="C216" s="16" t="s">
        <v>154</v>
      </c>
      <c r="D216" s="16" t="s">
        <v>589</v>
      </c>
      <c r="E216" s="21">
        <v>5</v>
      </c>
      <c r="F216" s="21">
        <f>IFERROR(INDEX(competency_model!$F$2:$F$25,MATCH(C216,competency_model!$A$2:$A$25,0)),"")</f>
        <v>4</v>
      </c>
      <c r="G216" s="21">
        <f t="shared" si="3"/>
        <v>0</v>
      </c>
      <c r="H216" s="23">
        <v>46071</v>
      </c>
      <c r="I216" s="16" t="s">
        <v>228</v>
      </c>
      <c r="J216" s="6" t="s">
        <v>596</v>
      </c>
    </row>
    <row r="217" spans="1:10" ht="15" customHeight="1">
      <c r="A217" s="5" t="s">
        <v>805</v>
      </c>
      <c r="B217" s="16" t="s">
        <v>74</v>
      </c>
      <c r="C217" s="16" t="s">
        <v>154</v>
      </c>
      <c r="D217" s="16" t="s">
        <v>591</v>
      </c>
      <c r="E217" s="21">
        <v>5</v>
      </c>
      <c r="F217" s="21">
        <f>IFERROR(INDEX(competency_model!$F$2:$F$25,MATCH(C217,competency_model!$A$2:$A$25,0)),"")</f>
        <v>4</v>
      </c>
      <c r="G217" s="21">
        <f t="shared" si="3"/>
        <v>0</v>
      </c>
      <c r="H217" s="23">
        <v>46147</v>
      </c>
      <c r="I217" s="16" t="s">
        <v>225</v>
      </c>
      <c r="J217" s="6" t="s">
        <v>584</v>
      </c>
    </row>
    <row r="218" spans="1:10" ht="15" customHeight="1">
      <c r="A218" s="5" t="s">
        <v>806</v>
      </c>
      <c r="B218" s="16" t="s">
        <v>74</v>
      </c>
      <c r="C218" s="16" t="s">
        <v>181</v>
      </c>
      <c r="D218" s="16" t="s">
        <v>583</v>
      </c>
      <c r="E218" s="21">
        <v>1</v>
      </c>
      <c r="F218" s="21">
        <f>IFERROR(INDEX(competency_model!$F$2:$F$25,MATCH(C218,competency_model!$A$2:$A$25,0)),"")</f>
        <v>3</v>
      </c>
      <c r="G218" s="21">
        <f t="shared" si="3"/>
        <v>2</v>
      </c>
      <c r="H218" s="23">
        <v>45885</v>
      </c>
      <c r="I218" s="16" t="s">
        <v>225</v>
      </c>
      <c r="J218" s="6" t="s">
        <v>592</v>
      </c>
    </row>
    <row r="219" spans="1:10" ht="15" customHeight="1">
      <c r="A219" s="5" t="s">
        <v>807</v>
      </c>
      <c r="B219" s="16" t="s">
        <v>74</v>
      </c>
      <c r="C219" s="16" t="s">
        <v>181</v>
      </c>
      <c r="D219" s="16" t="s">
        <v>586</v>
      </c>
      <c r="E219" s="21">
        <v>1</v>
      </c>
      <c r="F219" s="21">
        <f>IFERROR(INDEX(competency_model!$F$2:$F$25,MATCH(C219,competency_model!$A$2:$A$25,0)),"")</f>
        <v>3</v>
      </c>
      <c r="G219" s="21">
        <f t="shared" si="3"/>
        <v>2</v>
      </c>
      <c r="H219" s="23">
        <v>45985</v>
      </c>
      <c r="I219" s="16" t="s">
        <v>228</v>
      </c>
      <c r="J219" s="6" t="s">
        <v>592</v>
      </c>
    </row>
    <row r="220" spans="1:10" ht="15" customHeight="1">
      <c r="A220" s="5" t="s">
        <v>808</v>
      </c>
      <c r="B220" s="16" t="s">
        <v>74</v>
      </c>
      <c r="C220" s="16" t="s">
        <v>181</v>
      </c>
      <c r="D220" s="16" t="s">
        <v>589</v>
      </c>
      <c r="E220" s="21">
        <v>1</v>
      </c>
      <c r="F220" s="21">
        <f>IFERROR(INDEX(competency_model!$F$2:$F$25,MATCH(C220,competency_model!$A$2:$A$25,0)),"")</f>
        <v>3</v>
      </c>
      <c r="G220" s="21">
        <f t="shared" si="3"/>
        <v>2</v>
      </c>
      <c r="H220" s="23">
        <v>46057</v>
      </c>
      <c r="I220" s="16" t="s">
        <v>222</v>
      </c>
      <c r="J220" s="6" t="s">
        <v>584</v>
      </c>
    </row>
    <row r="221" spans="1:10" ht="15" customHeight="1">
      <c r="A221" s="5" t="s">
        <v>809</v>
      </c>
      <c r="B221" s="16" t="s">
        <v>74</v>
      </c>
      <c r="C221" s="16" t="s">
        <v>181</v>
      </c>
      <c r="D221" s="16" t="s">
        <v>591</v>
      </c>
      <c r="E221" s="21">
        <v>2</v>
      </c>
      <c r="F221" s="21">
        <f>IFERROR(INDEX(competency_model!$F$2:$F$25,MATCH(C221,competency_model!$A$2:$A$25,0)),"")</f>
        <v>3</v>
      </c>
      <c r="G221" s="21">
        <f t="shared" si="3"/>
        <v>1</v>
      </c>
      <c r="H221" s="23">
        <v>46158</v>
      </c>
      <c r="I221" s="16" t="s">
        <v>222</v>
      </c>
      <c r="J221" s="6" t="s">
        <v>584</v>
      </c>
    </row>
    <row r="222" spans="1:10" ht="15" customHeight="1">
      <c r="A222" s="5" t="s">
        <v>810</v>
      </c>
      <c r="B222" s="16" t="s">
        <v>74</v>
      </c>
      <c r="C222" s="16" t="s">
        <v>160</v>
      </c>
      <c r="D222" s="16" t="s">
        <v>583</v>
      </c>
      <c r="E222" s="21">
        <v>1</v>
      </c>
      <c r="F222" s="21">
        <f>IFERROR(INDEX(competency_model!$F$2:$F$25,MATCH(C222,competency_model!$A$2:$A$25,0)),"")</f>
        <v>3</v>
      </c>
      <c r="G222" s="21">
        <f t="shared" si="3"/>
        <v>2</v>
      </c>
      <c r="H222" s="23">
        <v>45888</v>
      </c>
      <c r="I222" s="16" t="s">
        <v>222</v>
      </c>
      <c r="J222" s="6" t="s">
        <v>584</v>
      </c>
    </row>
    <row r="223" spans="1:10" ht="15" customHeight="1">
      <c r="A223" s="5" t="s">
        <v>811</v>
      </c>
      <c r="B223" s="16" t="s">
        <v>74</v>
      </c>
      <c r="C223" s="16" t="s">
        <v>160</v>
      </c>
      <c r="D223" s="16" t="s">
        <v>586</v>
      </c>
      <c r="E223" s="21">
        <v>2</v>
      </c>
      <c r="F223" s="21">
        <f>IFERROR(INDEX(competency_model!$F$2:$F$25,MATCH(C223,competency_model!$A$2:$A$25,0)),"")</f>
        <v>3</v>
      </c>
      <c r="G223" s="21">
        <f t="shared" si="3"/>
        <v>1</v>
      </c>
      <c r="H223" s="23">
        <v>45967</v>
      </c>
      <c r="I223" s="16" t="s">
        <v>228</v>
      </c>
      <c r="J223" s="6" t="s">
        <v>596</v>
      </c>
    </row>
    <row r="224" spans="1:10" ht="15" customHeight="1">
      <c r="A224" s="5" t="s">
        <v>812</v>
      </c>
      <c r="B224" s="16" t="s">
        <v>74</v>
      </c>
      <c r="C224" s="16" t="s">
        <v>160</v>
      </c>
      <c r="D224" s="16" t="s">
        <v>589</v>
      </c>
      <c r="E224" s="21">
        <v>4</v>
      </c>
      <c r="F224" s="21">
        <f>IFERROR(INDEX(competency_model!$F$2:$F$25,MATCH(C224,competency_model!$A$2:$A$25,0)),"")</f>
        <v>3</v>
      </c>
      <c r="G224" s="21">
        <f t="shared" si="3"/>
        <v>0</v>
      </c>
      <c r="H224" s="23">
        <v>46056</v>
      </c>
      <c r="I224" s="16" t="s">
        <v>228</v>
      </c>
      <c r="J224" s="6" t="s">
        <v>587</v>
      </c>
    </row>
    <row r="225" spans="1:10" ht="15" customHeight="1">
      <c r="A225" s="5" t="s">
        <v>813</v>
      </c>
      <c r="B225" s="16" t="s">
        <v>74</v>
      </c>
      <c r="C225" s="16" t="s">
        <v>160</v>
      </c>
      <c r="D225" s="16" t="s">
        <v>591</v>
      </c>
      <c r="E225" s="21">
        <v>4</v>
      </c>
      <c r="F225" s="21">
        <f>IFERROR(INDEX(competency_model!$F$2:$F$25,MATCH(C225,competency_model!$A$2:$A$25,0)),"")</f>
        <v>3</v>
      </c>
      <c r="G225" s="21">
        <f t="shared" si="3"/>
        <v>0</v>
      </c>
      <c r="H225" s="23">
        <v>46158</v>
      </c>
      <c r="I225" s="16" t="s">
        <v>228</v>
      </c>
      <c r="J225" s="6" t="s">
        <v>592</v>
      </c>
    </row>
    <row r="226" spans="1:10" ht="15" customHeight="1">
      <c r="A226" s="5" t="s">
        <v>814</v>
      </c>
      <c r="B226" s="16" t="s">
        <v>74</v>
      </c>
      <c r="C226" s="16" t="s">
        <v>206</v>
      </c>
      <c r="D226" s="16" t="s">
        <v>583</v>
      </c>
      <c r="E226" s="21">
        <v>1</v>
      </c>
      <c r="F226" s="21">
        <f>IFERROR(INDEX(competency_model!$F$2:$F$25,MATCH(C226,competency_model!$A$2:$A$25,0)),"")</f>
        <v>3</v>
      </c>
      <c r="G226" s="21">
        <f t="shared" si="3"/>
        <v>2</v>
      </c>
      <c r="H226" s="23">
        <v>45874</v>
      </c>
      <c r="I226" s="16" t="s">
        <v>222</v>
      </c>
      <c r="J226" s="6" t="s">
        <v>592</v>
      </c>
    </row>
    <row r="227" spans="1:10" ht="15" customHeight="1">
      <c r="A227" s="5" t="s">
        <v>815</v>
      </c>
      <c r="B227" s="16" t="s">
        <v>74</v>
      </c>
      <c r="C227" s="16" t="s">
        <v>206</v>
      </c>
      <c r="D227" s="16" t="s">
        <v>586</v>
      </c>
      <c r="E227" s="21">
        <v>1</v>
      </c>
      <c r="F227" s="21">
        <f>IFERROR(INDEX(competency_model!$F$2:$F$25,MATCH(C227,competency_model!$A$2:$A$25,0)),"")</f>
        <v>3</v>
      </c>
      <c r="G227" s="21">
        <f t="shared" si="3"/>
        <v>2</v>
      </c>
      <c r="H227" s="23">
        <v>45978</v>
      </c>
      <c r="I227" s="16" t="s">
        <v>222</v>
      </c>
      <c r="J227" s="6" t="s">
        <v>587</v>
      </c>
    </row>
    <row r="228" spans="1:10" ht="15" customHeight="1">
      <c r="A228" s="5" t="s">
        <v>816</v>
      </c>
      <c r="B228" s="16" t="s">
        <v>74</v>
      </c>
      <c r="C228" s="16" t="s">
        <v>206</v>
      </c>
      <c r="D228" s="16" t="s">
        <v>589</v>
      </c>
      <c r="E228" s="21">
        <v>1</v>
      </c>
      <c r="F228" s="21">
        <f>IFERROR(INDEX(competency_model!$F$2:$F$25,MATCH(C228,competency_model!$A$2:$A$25,0)),"")</f>
        <v>3</v>
      </c>
      <c r="G228" s="21">
        <f t="shared" si="3"/>
        <v>2</v>
      </c>
      <c r="H228" s="23">
        <v>46070</v>
      </c>
      <c r="I228" s="16" t="s">
        <v>228</v>
      </c>
      <c r="J228" s="6" t="s">
        <v>584</v>
      </c>
    </row>
    <row r="229" spans="1:10" ht="15" customHeight="1">
      <c r="A229" s="5" t="s">
        <v>817</v>
      </c>
      <c r="B229" s="16" t="s">
        <v>74</v>
      </c>
      <c r="C229" s="16" t="s">
        <v>206</v>
      </c>
      <c r="D229" s="16" t="s">
        <v>591</v>
      </c>
      <c r="E229" s="21">
        <v>3</v>
      </c>
      <c r="F229" s="21">
        <f>IFERROR(INDEX(competency_model!$F$2:$F$25,MATCH(C229,competency_model!$A$2:$A$25,0)),"")</f>
        <v>3</v>
      </c>
      <c r="G229" s="21">
        <f t="shared" si="3"/>
        <v>0</v>
      </c>
      <c r="H229" s="23">
        <v>46165</v>
      </c>
      <c r="I229" s="16" t="s">
        <v>225</v>
      </c>
      <c r="J229" s="6" t="s">
        <v>584</v>
      </c>
    </row>
    <row r="230" spans="1:10" ht="15" customHeight="1">
      <c r="A230" s="5" t="s">
        <v>818</v>
      </c>
      <c r="B230" s="16" t="s">
        <v>74</v>
      </c>
      <c r="C230" s="16" t="s">
        <v>163</v>
      </c>
      <c r="D230" s="16" t="s">
        <v>583</v>
      </c>
      <c r="E230" s="21">
        <v>1</v>
      </c>
      <c r="F230" s="21">
        <f>IFERROR(INDEX(competency_model!$F$2:$F$25,MATCH(C230,competency_model!$A$2:$A$25,0)),"")</f>
        <v>4</v>
      </c>
      <c r="G230" s="21">
        <f t="shared" si="3"/>
        <v>3</v>
      </c>
      <c r="H230" s="23">
        <v>45889</v>
      </c>
      <c r="I230" s="16" t="s">
        <v>228</v>
      </c>
      <c r="J230" s="6" t="s">
        <v>596</v>
      </c>
    </row>
    <row r="231" spans="1:10" ht="15" customHeight="1">
      <c r="A231" s="5" t="s">
        <v>819</v>
      </c>
      <c r="B231" s="16" t="s">
        <v>74</v>
      </c>
      <c r="C231" s="16" t="s">
        <v>163</v>
      </c>
      <c r="D231" s="16" t="s">
        <v>586</v>
      </c>
      <c r="E231" s="21">
        <v>2</v>
      </c>
      <c r="F231" s="21">
        <f>IFERROR(INDEX(competency_model!$F$2:$F$25,MATCH(C231,competency_model!$A$2:$A$25,0)),"")</f>
        <v>4</v>
      </c>
      <c r="G231" s="21">
        <f t="shared" si="3"/>
        <v>2</v>
      </c>
      <c r="H231" s="23">
        <v>45970</v>
      </c>
      <c r="I231" s="16" t="s">
        <v>228</v>
      </c>
      <c r="J231" s="6" t="s">
        <v>587</v>
      </c>
    </row>
    <row r="232" spans="1:10" ht="15" customHeight="1">
      <c r="A232" s="5" t="s">
        <v>820</v>
      </c>
      <c r="B232" s="16" t="s">
        <v>74</v>
      </c>
      <c r="C232" s="16" t="s">
        <v>163</v>
      </c>
      <c r="D232" s="16" t="s">
        <v>589</v>
      </c>
      <c r="E232" s="21">
        <v>3</v>
      </c>
      <c r="F232" s="21">
        <f>IFERROR(INDEX(competency_model!$F$2:$F$25,MATCH(C232,competency_model!$A$2:$A$25,0)),"")</f>
        <v>4</v>
      </c>
      <c r="G232" s="21">
        <f t="shared" si="3"/>
        <v>1</v>
      </c>
      <c r="H232" s="23">
        <v>46061</v>
      </c>
      <c r="I232" s="16" t="s">
        <v>222</v>
      </c>
      <c r="J232" s="6" t="s">
        <v>587</v>
      </c>
    </row>
    <row r="233" spans="1:10" ht="15" customHeight="1">
      <c r="A233" s="5" t="s">
        <v>821</v>
      </c>
      <c r="B233" s="16" t="s">
        <v>74</v>
      </c>
      <c r="C233" s="16" t="s">
        <v>163</v>
      </c>
      <c r="D233" s="16" t="s">
        <v>591</v>
      </c>
      <c r="E233" s="21">
        <v>4</v>
      </c>
      <c r="F233" s="21">
        <f>IFERROR(INDEX(competency_model!$F$2:$F$25,MATCH(C233,competency_model!$A$2:$A$25,0)),"")</f>
        <v>4</v>
      </c>
      <c r="G233" s="21">
        <f t="shared" si="3"/>
        <v>0</v>
      </c>
      <c r="H233" s="23">
        <v>46164</v>
      </c>
      <c r="I233" s="16" t="s">
        <v>225</v>
      </c>
      <c r="J233" s="6" t="s">
        <v>596</v>
      </c>
    </row>
    <row r="234" spans="1:10" ht="15" customHeight="1">
      <c r="A234" s="5" t="s">
        <v>822</v>
      </c>
      <c r="B234" s="16" t="s">
        <v>74</v>
      </c>
      <c r="C234" s="16" t="s">
        <v>178</v>
      </c>
      <c r="D234" s="16" t="s">
        <v>583</v>
      </c>
      <c r="E234" s="21">
        <v>1</v>
      </c>
      <c r="F234" s="21">
        <f>IFERROR(INDEX(competency_model!$F$2:$F$25,MATCH(C234,competency_model!$A$2:$A$25,0)),"")</f>
        <v>3</v>
      </c>
      <c r="G234" s="21">
        <f t="shared" si="3"/>
        <v>2</v>
      </c>
      <c r="H234" s="23">
        <v>45893</v>
      </c>
      <c r="I234" s="16" t="s">
        <v>222</v>
      </c>
      <c r="J234" s="6" t="s">
        <v>587</v>
      </c>
    </row>
    <row r="235" spans="1:10" ht="15" customHeight="1">
      <c r="A235" s="5" t="s">
        <v>823</v>
      </c>
      <c r="B235" s="16" t="s">
        <v>74</v>
      </c>
      <c r="C235" s="16" t="s">
        <v>178</v>
      </c>
      <c r="D235" s="16" t="s">
        <v>586</v>
      </c>
      <c r="E235" s="21">
        <v>1</v>
      </c>
      <c r="F235" s="21">
        <f>IFERROR(INDEX(competency_model!$F$2:$F$25,MATCH(C235,competency_model!$A$2:$A$25,0)),"")</f>
        <v>3</v>
      </c>
      <c r="G235" s="21">
        <f t="shared" si="3"/>
        <v>2</v>
      </c>
      <c r="H235" s="23">
        <v>45976</v>
      </c>
      <c r="I235" s="16" t="s">
        <v>225</v>
      </c>
      <c r="J235" s="6" t="s">
        <v>592</v>
      </c>
    </row>
    <row r="236" spans="1:10" ht="15" customHeight="1">
      <c r="A236" s="5" t="s">
        <v>824</v>
      </c>
      <c r="B236" s="16" t="s">
        <v>74</v>
      </c>
      <c r="C236" s="16" t="s">
        <v>178</v>
      </c>
      <c r="D236" s="16" t="s">
        <v>589</v>
      </c>
      <c r="E236" s="21">
        <v>2</v>
      </c>
      <c r="F236" s="21">
        <f>IFERROR(INDEX(competency_model!$F$2:$F$25,MATCH(C236,competency_model!$A$2:$A$25,0)),"")</f>
        <v>3</v>
      </c>
      <c r="G236" s="21">
        <f t="shared" si="3"/>
        <v>1</v>
      </c>
      <c r="H236" s="23">
        <v>46076</v>
      </c>
      <c r="I236" s="16" t="s">
        <v>225</v>
      </c>
      <c r="J236" s="6" t="s">
        <v>584</v>
      </c>
    </row>
    <row r="237" spans="1:10" ht="15" customHeight="1">
      <c r="A237" s="5" t="s">
        <v>825</v>
      </c>
      <c r="B237" s="16" t="s">
        <v>74</v>
      </c>
      <c r="C237" s="16" t="s">
        <v>178</v>
      </c>
      <c r="D237" s="16" t="s">
        <v>591</v>
      </c>
      <c r="E237" s="21">
        <v>2</v>
      </c>
      <c r="F237" s="21">
        <f>IFERROR(INDEX(competency_model!$F$2:$F$25,MATCH(C237,competency_model!$A$2:$A$25,0)),"")</f>
        <v>3</v>
      </c>
      <c r="G237" s="21">
        <f t="shared" si="3"/>
        <v>1</v>
      </c>
      <c r="H237" s="23">
        <v>46161</v>
      </c>
      <c r="I237" s="16" t="s">
        <v>225</v>
      </c>
      <c r="J237" s="6" t="s">
        <v>587</v>
      </c>
    </row>
    <row r="238" spans="1:10" ht="15" customHeight="1">
      <c r="A238" s="5" t="s">
        <v>826</v>
      </c>
      <c r="B238" s="16" t="s">
        <v>74</v>
      </c>
      <c r="C238" s="16" t="s">
        <v>169</v>
      </c>
      <c r="D238" s="16" t="s">
        <v>583</v>
      </c>
      <c r="E238" s="21">
        <v>1</v>
      </c>
      <c r="F238" s="21">
        <f>IFERROR(INDEX(competency_model!$F$2:$F$25,MATCH(C238,competency_model!$A$2:$A$25,0)),"")</f>
        <v>3</v>
      </c>
      <c r="G238" s="21">
        <f t="shared" si="3"/>
        <v>2</v>
      </c>
      <c r="H238" s="23">
        <v>45873</v>
      </c>
      <c r="I238" s="16" t="s">
        <v>228</v>
      </c>
      <c r="J238" s="6" t="s">
        <v>584</v>
      </c>
    </row>
    <row r="239" spans="1:10" ht="15" customHeight="1">
      <c r="A239" s="5" t="s">
        <v>827</v>
      </c>
      <c r="B239" s="16" t="s">
        <v>74</v>
      </c>
      <c r="C239" s="16" t="s">
        <v>169</v>
      </c>
      <c r="D239" s="16" t="s">
        <v>586</v>
      </c>
      <c r="E239" s="21">
        <v>1</v>
      </c>
      <c r="F239" s="21">
        <f>IFERROR(INDEX(competency_model!$F$2:$F$25,MATCH(C239,competency_model!$A$2:$A$25,0)),"")</f>
        <v>3</v>
      </c>
      <c r="G239" s="21">
        <f t="shared" si="3"/>
        <v>2</v>
      </c>
      <c r="H239" s="23">
        <v>45981</v>
      </c>
      <c r="I239" s="16" t="s">
        <v>228</v>
      </c>
      <c r="J239" s="6" t="s">
        <v>584</v>
      </c>
    </row>
    <row r="240" spans="1:10" ht="15" customHeight="1">
      <c r="A240" s="5" t="s">
        <v>828</v>
      </c>
      <c r="B240" s="16" t="s">
        <v>74</v>
      </c>
      <c r="C240" s="16" t="s">
        <v>169</v>
      </c>
      <c r="D240" s="16" t="s">
        <v>589</v>
      </c>
      <c r="E240" s="21">
        <v>2</v>
      </c>
      <c r="F240" s="21">
        <f>IFERROR(INDEX(competency_model!$F$2:$F$25,MATCH(C240,competency_model!$A$2:$A$25,0)),"")</f>
        <v>3</v>
      </c>
      <c r="G240" s="21">
        <f t="shared" si="3"/>
        <v>1</v>
      </c>
      <c r="H240" s="23">
        <v>46063</v>
      </c>
      <c r="I240" s="16" t="s">
        <v>222</v>
      </c>
      <c r="J240" s="6" t="s">
        <v>596</v>
      </c>
    </row>
    <row r="241" spans="1:10" ht="15" customHeight="1">
      <c r="A241" s="5" t="s">
        <v>829</v>
      </c>
      <c r="B241" s="16" t="s">
        <v>74</v>
      </c>
      <c r="C241" s="16" t="s">
        <v>169</v>
      </c>
      <c r="D241" s="16" t="s">
        <v>591</v>
      </c>
      <c r="E241" s="21">
        <v>2</v>
      </c>
      <c r="F241" s="21">
        <f>IFERROR(INDEX(competency_model!$F$2:$F$25,MATCH(C241,competency_model!$A$2:$A$25,0)),"")</f>
        <v>3</v>
      </c>
      <c r="G241" s="21">
        <f t="shared" si="3"/>
        <v>1</v>
      </c>
      <c r="H241" s="23">
        <v>46168</v>
      </c>
      <c r="I241" s="16" t="s">
        <v>225</v>
      </c>
      <c r="J241" s="6" t="s">
        <v>587</v>
      </c>
    </row>
    <row r="242" spans="1:10" ht="15" customHeight="1">
      <c r="A242" s="5" t="s">
        <v>830</v>
      </c>
      <c r="B242" s="16" t="s">
        <v>78</v>
      </c>
      <c r="C242" s="16" t="s">
        <v>154</v>
      </c>
      <c r="D242" s="16" t="s">
        <v>583</v>
      </c>
      <c r="E242" s="21">
        <v>1</v>
      </c>
      <c r="F242" s="21">
        <f>IFERROR(INDEX(competency_model!$F$2:$F$25,MATCH(C242,competency_model!$A$2:$A$25,0)),"")</f>
        <v>4</v>
      </c>
      <c r="G242" s="21">
        <f t="shared" si="3"/>
        <v>3</v>
      </c>
      <c r="H242" s="23">
        <v>45894</v>
      </c>
      <c r="I242" s="16" t="s">
        <v>225</v>
      </c>
      <c r="J242" s="6" t="s">
        <v>587</v>
      </c>
    </row>
    <row r="243" spans="1:10" ht="15" customHeight="1">
      <c r="A243" s="5" t="s">
        <v>831</v>
      </c>
      <c r="B243" s="16" t="s">
        <v>78</v>
      </c>
      <c r="C243" s="16" t="s">
        <v>154</v>
      </c>
      <c r="D243" s="16" t="s">
        <v>586</v>
      </c>
      <c r="E243" s="21">
        <v>3</v>
      </c>
      <c r="F243" s="21">
        <f>IFERROR(INDEX(competency_model!$F$2:$F$25,MATCH(C243,competency_model!$A$2:$A$25,0)),"")</f>
        <v>4</v>
      </c>
      <c r="G243" s="21">
        <f t="shared" si="3"/>
        <v>1</v>
      </c>
      <c r="H243" s="23">
        <v>45966</v>
      </c>
      <c r="I243" s="16" t="s">
        <v>222</v>
      </c>
      <c r="J243" s="6" t="s">
        <v>596</v>
      </c>
    </row>
    <row r="244" spans="1:10" ht="15" customHeight="1">
      <c r="A244" s="5" t="s">
        <v>832</v>
      </c>
      <c r="B244" s="16" t="s">
        <v>78</v>
      </c>
      <c r="C244" s="16" t="s">
        <v>154</v>
      </c>
      <c r="D244" s="16" t="s">
        <v>589</v>
      </c>
      <c r="E244" s="21">
        <v>3</v>
      </c>
      <c r="F244" s="21">
        <f>IFERROR(INDEX(competency_model!$F$2:$F$25,MATCH(C244,competency_model!$A$2:$A$25,0)),"")</f>
        <v>4</v>
      </c>
      <c r="G244" s="21">
        <f t="shared" si="3"/>
        <v>1</v>
      </c>
      <c r="H244" s="23">
        <v>46070</v>
      </c>
      <c r="I244" s="16" t="s">
        <v>228</v>
      </c>
      <c r="J244" s="6" t="s">
        <v>596</v>
      </c>
    </row>
    <row r="245" spans="1:10" ht="15" customHeight="1">
      <c r="A245" s="5" t="s">
        <v>833</v>
      </c>
      <c r="B245" s="16" t="s">
        <v>78</v>
      </c>
      <c r="C245" s="16" t="s">
        <v>154</v>
      </c>
      <c r="D245" s="16" t="s">
        <v>591</v>
      </c>
      <c r="E245" s="21">
        <v>5</v>
      </c>
      <c r="F245" s="21">
        <f>IFERROR(INDEX(competency_model!$F$2:$F$25,MATCH(C245,competency_model!$A$2:$A$25,0)),"")</f>
        <v>4</v>
      </c>
      <c r="G245" s="21">
        <f t="shared" si="3"/>
        <v>0</v>
      </c>
      <c r="H245" s="23">
        <v>46159</v>
      </c>
      <c r="I245" s="16" t="s">
        <v>225</v>
      </c>
      <c r="J245" s="6" t="s">
        <v>584</v>
      </c>
    </row>
    <row r="246" spans="1:10" ht="15" customHeight="1">
      <c r="A246" s="5" t="s">
        <v>834</v>
      </c>
      <c r="B246" s="16" t="s">
        <v>78</v>
      </c>
      <c r="C246" s="16" t="s">
        <v>173</v>
      </c>
      <c r="D246" s="16" t="s">
        <v>583</v>
      </c>
      <c r="E246" s="21">
        <v>2</v>
      </c>
      <c r="F246" s="21">
        <f>IFERROR(INDEX(competency_model!$F$2:$F$25,MATCH(C246,competency_model!$A$2:$A$25,0)),"")</f>
        <v>3</v>
      </c>
      <c r="G246" s="21">
        <f t="shared" si="3"/>
        <v>1</v>
      </c>
      <c r="H246" s="23">
        <v>45892</v>
      </c>
      <c r="I246" s="16" t="s">
        <v>225</v>
      </c>
      <c r="J246" s="6" t="s">
        <v>587</v>
      </c>
    </row>
    <row r="247" spans="1:10" ht="15" customHeight="1">
      <c r="A247" s="5" t="s">
        <v>835</v>
      </c>
      <c r="B247" s="16" t="s">
        <v>78</v>
      </c>
      <c r="C247" s="16" t="s">
        <v>173</v>
      </c>
      <c r="D247" s="16" t="s">
        <v>586</v>
      </c>
      <c r="E247" s="21">
        <v>3</v>
      </c>
      <c r="F247" s="21">
        <f>IFERROR(INDEX(competency_model!$F$2:$F$25,MATCH(C247,competency_model!$A$2:$A$25,0)),"")</f>
        <v>3</v>
      </c>
      <c r="G247" s="21">
        <f t="shared" si="3"/>
        <v>0</v>
      </c>
      <c r="H247" s="23">
        <v>45979</v>
      </c>
      <c r="I247" s="16" t="s">
        <v>228</v>
      </c>
      <c r="J247" s="6" t="s">
        <v>592</v>
      </c>
    </row>
    <row r="248" spans="1:10" ht="15" customHeight="1">
      <c r="A248" s="5" t="s">
        <v>836</v>
      </c>
      <c r="B248" s="16" t="s">
        <v>78</v>
      </c>
      <c r="C248" s="16" t="s">
        <v>173</v>
      </c>
      <c r="D248" s="16" t="s">
        <v>589</v>
      </c>
      <c r="E248" s="21">
        <v>3</v>
      </c>
      <c r="F248" s="21">
        <f>IFERROR(INDEX(competency_model!$F$2:$F$25,MATCH(C248,competency_model!$A$2:$A$25,0)),"")</f>
        <v>3</v>
      </c>
      <c r="G248" s="21">
        <f t="shared" si="3"/>
        <v>0</v>
      </c>
      <c r="H248" s="23">
        <v>46062</v>
      </c>
      <c r="I248" s="16" t="s">
        <v>228</v>
      </c>
      <c r="J248" s="6" t="s">
        <v>596</v>
      </c>
    </row>
    <row r="249" spans="1:10" ht="15" customHeight="1">
      <c r="A249" s="5" t="s">
        <v>837</v>
      </c>
      <c r="B249" s="16" t="s">
        <v>78</v>
      </c>
      <c r="C249" s="16" t="s">
        <v>173</v>
      </c>
      <c r="D249" s="16" t="s">
        <v>591</v>
      </c>
      <c r="E249" s="21">
        <v>5</v>
      </c>
      <c r="F249" s="21">
        <f>IFERROR(INDEX(competency_model!$F$2:$F$25,MATCH(C249,competency_model!$A$2:$A$25,0)),"")</f>
        <v>3</v>
      </c>
      <c r="G249" s="21">
        <f t="shared" si="3"/>
        <v>0</v>
      </c>
      <c r="H249" s="23">
        <v>46154</v>
      </c>
      <c r="I249" s="16" t="s">
        <v>228</v>
      </c>
      <c r="J249" s="6" t="s">
        <v>592</v>
      </c>
    </row>
    <row r="250" spans="1:10" ht="15" customHeight="1">
      <c r="A250" s="5" t="s">
        <v>838</v>
      </c>
      <c r="B250" s="16" t="s">
        <v>78</v>
      </c>
      <c r="C250" s="16" t="s">
        <v>192</v>
      </c>
      <c r="D250" s="16" t="s">
        <v>583</v>
      </c>
      <c r="E250" s="21">
        <v>3</v>
      </c>
      <c r="F250" s="21">
        <f>IFERROR(INDEX(competency_model!$F$2:$F$25,MATCH(C250,competency_model!$A$2:$A$25,0)),"")</f>
        <v>4</v>
      </c>
      <c r="G250" s="21">
        <f t="shared" si="3"/>
        <v>1</v>
      </c>
      <c r="H250" s="23">
        <v>45893</v>
      </c>
      <c r="I250" s="16" t="s">
        <v>228</v>
      </c>
      <c r="J250" s="6" t="s">
        <v>592</v>
      </c>
    </row>
    <row r="251" spans="1:10" ht="15" customHeight="1">
      <c r="A251" s="5" t="s">
        <v>839</v>
      </c>
      <c r="B251" s="16" t="s">
        <v>78</v>
      </c>
      <c r="C251" s="16" t="s">
        <v>192</v>
      </c>
      <c r="D251" s="16" t="s">
        <v>586</v>
      </c>
      <c r="E251" s="21">
        <v>3</v>
      </c>
      <c r="F251" s="21">
        <f>IFERROR(INDEX(competency_model!$F$2:$F$25,MATCH(C251,competency_model!$A$2:$A$25,0)),"")</f>
        <v>4</v>
      </c>
      <c r="G251" s="21">
        <f t="shared" si="3"/>
        <v>1</v>
      </c>
      <c r="H251" s="23">
        <v>45979</v>
      </c>
      <c r="I251" s="16" t="s">
        <v>225</v>
      </c>
      <c r="J251" s="6" t="s">
        <v>592</v>
      </c>
    </row>
    <row r="252" spans="1:10" ht="15" customHeight="1">
      <c r="A252" s="5" t="s">
        <v>840</v>
      </c>
      <c r="B252" s="16" t="s">
        <v>78</v>
      </c>
      <c r="C252" s="16" t="s">
        <v>192</v>
      </c>
      <c r="D252" s="16" t="s">
        <v>589</v>
      </c>
      <c r="E252" s="21">
        <v>4</v>
      </c>
      <c r="F252" s="21">
        <f>IFERROR(INDEX(competency_model!$F$2:$F$25,MATCH(C252,competency_model!$A$2:$A$25,0)),"")</f>
        <v>4</v>
      </c>
      <c r="G252" s="21">
        <f t="shared" si="3"/>
        <v>0</v>
      </c>
      <c r="H252" s="23">
        <v>46071</v>
      </c>
      <c r="I252" s="16" t="s">
        <v>228</v>
      </c>
      <c r="J252" s="6" t="s">
        <v>587</v>
      </c>
    </row>
    <row r="253" spans="1:10" ht="15" customHeight="1">
      <c r="A253" s="5" t="s">
        <v>841</v>
      </c>
      <c r="B253" s="16" t="s">
        <v>78</v>
      </c>
      <c r="C253" s="16" t="s">
        <v>192</v>
      </c>
      <c r="D253" s="16" t="s">
        <v>591</v>
      </c>
      <c r="E253" s="21">
        <v>5</v>
      </c>
      <c r="F253" s="21">
        <f>IFERROR(INDEX(competency_model!$F$2:$F$25,MATCH(C253,competency_model!$A$2:$A$25,0)),"")</f>
        <v>4</v>
      </c>
      <c r="G253" s="21">
        <f t="shared" si="3"/>
        <v>0</v>
      </c>
      <c r="H253" s="23">
        <v>46150</v>
      </c>
      <c r="I253" s="16" t="s">
        <v>225</v>
      </c>
      <c r="J253" s="6" t="s">
        <v>584</v>
      </c>
    </row>
    <row r="254" spans="1:10" ht="15" customHeight="1">
      <c r="A254" s="5" t="s">
        <v>842</v>
      </c>
      <c r="B254" s="16" t="s">
        <v>78</v>
      </c>
      <c r="C254" s="16" t="s">
        <v>171</v>
      </c>
      <c r="D254" s="16" t="s">
        <v>583</v>
      </c>
      <c r="E254" s="21">
        <v>1</v>
      </c>
      <c r="F254" s="21">
        <f>IFERROR(INDEX(competency_model!$F$2:$F$25,MATCH(C254,competency_model!$A$2:$A$25,0)),"")</f>
        <v>4</v>
      </c>
      <c r="G254" s="21">
        <f t="shared" si="3"/>
        <v>3</v>
      </c>
      <c r="H254" s="23">
        <v>45885</v>
      </c>
      <c r="I254" s="16" t="s">
        <v>225</v>
      </c>
      <c r="J254" s="6" t="s">
        <v>592</v>
      </c>
    </row>
    <row r="255" spans="1:10" ht="15" customHeight="1">
      <c r="A255" s="5" t="s">
        <v>843</v>
      </c>
      <c r="B255" s="16" t="s">
        <v>78</v>
      </c>
      <c r="C255" s="16" t="s">
        <v>171</v>
      </c>
      <c r="D255" s="16" t="s">
        <v>586</v>
      </c>
      <c r="E255" s="21">
        <v>1</v>
      </c>
      <c r="F255" s="21">
        <f>IFERROR(INDEX(competency_model!$F$2:$F$25,MATCH(C255,competency_model!$A$2:$A$25,0)),"")</f>
        <v>4</v>
      </c>
      <c r="G255" s="21">
        <f t="shared" si="3"/>
        <v>3</v>
      </c>
      <c r="H255" s="23">
        <v>45983</v>
      </c>
      <c r="I255" s="16" t="s">
        <v>225</v>
      </c>
      <c r="J255" s="6" t="s">
        <v>592</v>
      </c>
    </row>
    <row r="256" spans="1:10" ht="15" customHeight="1">
      <c r="A256" s="5" t="s">
        <v>844</v>
      </c>
      <c r="B256" s="16" t="s">
        <v>78</v>
      </c>
      <c r="C256" s="16" t="s">
        <v>171</v>
      </c>
      <c r="D256" s="16" t="s">
        <v>589</v>
      </c>
      <c r="E256" s="21">
        <v>2</v>
      </c>
      <c r="F256" s="21">
        <f>IFERROR(INDEX(competency_model!$F$2:$F$25,MATCH(C256,competency_model!$A$2:$A$25,0)),"")</f>
        <v>4</v>
      </c>
      <c r="G256" s="21">
        <f t="shared" si="3"/>
        <v>2</v>
      </c>
      <c r="H256" s="23">
        <v>46059</v>
      </c>
      <c r="I256" s="16" t="s">
        <v>222</v>
      </c>
      <c r="J256" s="6" t="s">
        <v>592</v>
      </c>
    </row>
    <row r="257" spans="1:10" ht="15" customHeight="1">
      <c r="A257" s="5" t="s">
        <v>845</v>
      </c>
      <c r="B257" s="16" t="s">
        <v>78</v>
      </c>
      <c r="C257" s="16" t="s">
        <v>171</v>
      </c>
      <c r="D257" s="16" t="s">
        <v>591</v>
      </c>
      <c r="E257" s="21">
        <v>3</v>
      </c>
      <c r="F257" s="21">
        <f>IFERROR(INDEX(competency_model!$F$2:$F$25,MATCH(C257,competency_model!$A$2:$A$25,0)),"")</f>
        <v>4</v>
      </c>
      <c r="G257" s="21">
        <f t="shared" si="3"/>
        <v>1</v>
      </c>
      <c r="H257" s="23">
        <v>46160</v>
      </c>
      <c r="I257" s="16" t="s">
        <v>228</v>
      </c>
      <c r="J257" s="6" t="s">
        <v>592</v>
      </c>
    </row>
    <row r="258" spans="1:10" ht="15" customHeight="1">
      <c r="A258" s="5" t="s">
        <v>846</v>
      </c>
      <c r="B258" s="16" t="s">
        <v>78</v>
      </c>
      <c r="C258" s="16" t="s">
        <v>189</v>
      </c>
      <c r="D258" s="16" t="s">
        <v>583</v>
      </c>
      <c r="E258" s="21">
        <v>1</v>
      </c>
      <c r="F258" s="21">
        <f>IFERROR(INDEX(competency_model!$F$2:$F$25,MATCH(C258,competency_model!$A$2:$A$25,0)),"")</f>
        <v>4</v>
      </c>
      <c r="G258" s="21">
        <f t="shared" ref="G258:G321" si="4">MAX(0,F258-E258)</f>
        <v>3</v>
      </c>
      <c r="H258" s="23">
        <v>45889</v>
      </c>
      <c r="I258" s="16" t="s">
        <v>222</v>
      </c>
      <c r="J258" s="6" t="s">
        <v>587</v>
      </c>
    </row>
    <row r="259" spans="1:10" ht="15" customHeight="1">
      <c r="A259" s="5" t="s">
        <v>847</v>
      </c>
      <c r="B259" s="16" t="s">
        <v>78</v>
      </c>
      <c r="C259" s="16" t="s">
        <v>189</v>
      </c>
      <c r="D259" s="16" t="s">
        <v>586</v>
      </c>
      <c r="E259" s="21">
        <v>2</v>
      </c>
      <c r="F259" s="21">
        <f>IFERROR(INDEX(competency_model!$F$2:$F$25,MATCH(C259,competency_model!$A$2:$A$25,0)),"")</f>
        <v>4</v>
      </c>
      <c r="G259" s="21">
        <f t="shared" si="4"/>
        <v>2</v>
      </c>
      <c r="H259" s="23">
        <v>45986</v>
      </c>
      <c r="I259" s="16" t="s">
        <v>228</v>
      </c>
      <c r="J259" s="6" t="s">
        <v>587</v>
      </c>
    </row>
    <row r="260" spans="1:10" ht="15" customHeight="1">
      <c r="A260" s="5" t="s">
        <v>848</v>
      </c>
      <c r="B260" s="16" t="s">
        <v>78</v>
      </c>
      <c r="C260" s="16" t="s">
        <v>189</v>
      </c>
      <c r="D260" s="16" t="s">
        <v>589</v>
      </c>
      <c r="E260" s="21">
        <v>3</v>
      </c>
      <c r="F260" s="21">
        <f>IFERROR(INDEX(competency_model!$F$2:$F$25,MATCH(C260,competency_model!$A$2:$A$25,0)),"")</f>
        <v>4</v>
      </c>
      <c r="G260" s="21">
        <f t="shared" si="4"/>
        <v>1</v>
      </c>
      <c r="H260" s="23">
        <v>46070</v>
      </c>
      <c r="I260" s="16" t="s">
        <v>225</v>
      </c>
      <c r="J260" s="6" t="s">
        <v>592</v>
      </c>
    </row>
    <row r="261" spans="1:10" ht="15" customHeight="1">
      <c r="A261" s="5" t="s">
        <v>849</v>
      </c>
      <c r="B261" s="16" t="s">
        <v>78</v>
      </c>
      <c r="C261" s="16" t="s">
        <v>189</v>
      </c>
      <c r="D261" s="16" t="s">
        <v>591</v>
      </c>
      <c r="E261" s="21">
        <v>4</v>
      </c>
      <c r="F261" s="21">
        <f>IFERROR(INDEX(competency_model!$F$2:$F$25,MATCH(C261,competency_model!$A$2:$A$25,0)),"")</f>
        <v>4</v>
      </c>
      <c r="G261" s="21">
        <f t="shared" si="4"/>
        <v>0</v>
      </c>
      <c r="H261" s="23">
        <v>46158</v>
      </c>
      <c r="I261" s="16" t="s">
        <v>228</v>
      </c>
      <c r="J261" s="6" t="s">
        <v>587</v>
      </c>
    </row>
    <row r="262" spans="1:10" ht="15" customHeight="1">
      <c r="A262" s="5" t="s">
        <v>850</v>
      </c>
      <c r="B262" s="16" t="s">
        <v>78</v>
      </c>
      <c r="C262" s="16" t="s">
        <v>175</v>
      </c>
      <c r="D262" s="16" t="s">
        <v>583</v>
      </c>
      <c r="E262" s="21">
        <v>2</v>
      </c>
      <c r="F262" s="21">
        <f>IFERROR(INDEX(competency_model!$F$2:$F$25,MATCH(C262,competency_model!$A$2:$A$25,0)),"")</f>
        <v>4</v>
      </c>
      <c r="G262" s="21">
        <f t="shared" si="4"/>
        <v>2</v>
      </c>
      <c r="H262" s="23">
        <v>45877</v>
      </c>
      <c r="I262" s="16" t="s">
        <v>228</v>
      </c>
      <c r="J262" s="6" t="s">
        <v>584</v>
      </c>
    </row>
    <row r="263" spans="1:10" ht="15" customHeight="1">
      <c r="A263" s="5" t="s">
        <v>851</v>
      </c>
      <c r="B263" s="16" t="s">
        <v>78</v>
      </c>
      <c r="C263" s="16" t="s">
        <v>175</v>
      </c>
      <c r="D263" s="16" t="s">
        <v>586</v>
      </c>
      <c r="E263" s="21">
        <v>4</v>
      </c>
      <c r="F263" s="21">
        <f>IFERROR(INDEX(competency_model!$F$2:$F$25,MATCH(C263,competency_model!$A$2:$A$25,0)),"")</f>
        <v>4</v>
      </c>
      <c r="G263" s="21">
        <f t="shared" si="4"/>
        <v>0</v>
      </c>
      <c r="H263" s="23">
        <v>45981</v>
      </c>
      <c r="I263" s="16" t="s">
        <v>225</v>
      </c>
      <c r="J263" s="6" t="s">
        <v>596</v>
      </c>
    </row>
    <row r="264" spans="1:10" ht="15" customHeight="1">
      <c r="A264" s="5" t="s">
        <v>852</v>
      </c>
      <c r="B264" s="16" t="s">
        <v>78</v>
      </c>
      <c r="C264" s="16" t="s">
        <v>175</v>
      </c>
      <c r="D264" s="16" t="s">
        <v>589</v>
      </c>
      <c r="E264" s="21">
        <v>4</v>
      </c>
      <c r="F264" s="21">
        <f>IFERROR(INDEX(competency_model!$F$2:$F$25,MATCH(C264,competency_model!$A$2:$A$25,0)),"")</f>
        <v>4</v>
      </c>
      <c r="G264" s="21">
        <f t="shared" si="4"/>
        <v>0</v>
      </c>
      <c r="H264" s="23">
        <v>46074</v>
      </c>
      <c r="I264" s="16" t="s">
        <v>225</v>
      </c>
      <c r="J264" s="6" t="s">
        <v>596</v>
      </c>
    </row>
    <row r="265" spans="1:10" ht="15" customHeight="1">
      <c r="A265" s="5" t="s">
        <v>853</v>
      </c>
      <c r="B265" s="16" t="s">
        <v>78</v>
      </c>
      <c r="C265" s="16" t="s">
        <v>175</v>
      </c>
      <c r="D265" s="16" t="s">
        <v>591</v>
      </c>
      <c r="E265" s="21">
        <v>5</v>
      </c>
      <c r="F265" s="21">
        <f>IFERROR(INDEX(competency_model!$F$2:$F$25,MATCH(C265,competency_model!$A$2:$A$25,0)),"")</f>
        <v>4</v>
      </c>
      <c r="G265" s="21">
        <f t="shared" si="4"/>
        <v>0</v>
      </c>
      <c r="H265" s="23">
        <v>46154</v>
      </c>
      <c r="I265" s="16" t="s">
        <v>228</v>
      </c>
      <c r="J265" s="6" t="s">
        <v>592</v>
      </c>
    </row>
    <row r="266" spans="1:10" ht="15" customHeight="1">
      <c r="A266" s="5" t="s">
        <v>854</v>
      </c>
      <c r="B266" s="16" t="s">
        <v>78</v>
      </c>
      <c r="C266" s="16" t="s">
        <v>178</v>
      </c>
      <c r="D266" s="16" t="s">
        <v>583</v>
      </c>
      <c r="E266" s="21">
        <v>1</v>
      </c>
      <c r="F266" s="21">
        <f>IFERROR(INDEX(competency_model!$F$2:$F$25,MATCH(C266,competency_model!$A$2:$A$25,0)),"")</f>
        <v>3</v>
      </c>
      <c r="G266" s="21">
        <f t="shared" si="4"/>
        <v>2</v>
      </c>
      <c r="H266" s="23">
        <v>45894</v>
      </c>
      <c r="I266" s="16" t="s">
        <v>225</v>
      </c>
      <c r="J266" s="6" t="s">
        <v>592</v>
      </c>
    </row>
    <row r="267" spans="1:10" ht="15" customHeight="1">
      <c r="A267" s="5" t="s">
        <v>855</v>
      </c>
      <c r="B267" s="16" t="s">
        <v>78</v>
      </c>
      <c r="C267" s="16" t="s">
        <v>178</v>
      </c>
      <c r="D267" s="16" t="s">
        <v>586</v>
      </c>
      <c r="E267" s="21">
        <v>2</v>
      </c>
      <c r="F267" s="21">
        <f>IFERROR(INDEX(competency_model!$F$2:$F$25,MATCH(C267,competency_model!$A$2:$A$25,0)),"")</f>
        <v>3</v>
      </c>
      <c r="G267" s="21">
        <f t="shared" si="4"/>
        <v>1</v>
      </c>
      <c r="H267" s="23">
        <v>45979</v>
      </c>
      <c r="I267" s="16" t="s">
        <v>228</v>
      </c>
      <c r="J267" s="6" t="s">
        <v>596</v>
      </c>
    </row>
    <row r="268" spans="1:10" ht="15" customHeight="1">
      <c r="A268" s="5" t="s">
        <v>856</v>
      </c>
      <c r="B268" s="16" t="s">
        <v>78</v>
      </c>
      <c r="C268" s="16" t="s">
        <v>178</v>
      </c>
      <c r="D268" s="16" t="s">
        <v>589</v>
      </c>
      <c r="E268" s="21">
        <v>3</v>
      </c>
      <c r="F268" s="21">
        <f>IFERROR(INDEX(competency_model!$F$2:$F$25,MATCH(C268,competency_model!$A$2:$A$25,0)),"")</f>
        <v>3</v>
      </c>
      <c r="G268" s="21">
        <f t="shared" si="4"/>
        <v>0</v>
      </c>
      <c r="H268" s="23">
        <v>46060</v>
      </c>
      <c r="I268" s="16" t="s">
        <v>222</v>
      </c>
      <c r="J268" s="6" t="s">
        <v>592</v>
      </c>
    </row>
    <row r="269" spans="1:10" ht="15" customHeight="1">
      <c r="A269" s="5" t="s">
        <v>857</v>
      </c>
      <c r="B269" s="16" t="s">
        <v>78</v>
      </c>
      <c r="C269" s="16" t="s">
        <v>178</v>
      </c>
      <c r="D269" s="16" t="s">
        <v>591</v>
      </c>
      <c r="E269" s="21">
        <v>4</v>
      </c>
      <c r="F269" s="21">
        <f>IFERROR(INDEX(competency_model!$F$2:$F$25,MATCH(C269,competency_model!$A$2:$A$25,0)),"")</f>
        <v>3</v>
      </c>
      <c r="G269" s="21">
        <f t="shared" si="4"/>
        <v>0</v>
      </c>
      <c r="H269" s="23">
        <v>46160</v>
      </c>
      <c r="I269" s="16" t="s">
        <v>228</v>
      </c>
      <c r="J269" s="6" t="s">
        <v>587</v>
      </c>
    </row>
    <row r="270" spans="1:10" ht="15" customHeight="1">
      <c r="A270" s="5" t="s">
        <v>858</v>
      </c>
      <c r="B270" s="16" t="s">
        <v>81</v>
      </c>
      <c r="C270" s="16" t="s">
        <v>160</v>
      </c>
      <c r="D270" s="16" t="s">
        <v>583</v>
      </c>
      <c r="E270" s="21">
        <v>1</v>
      </c>
      <c r="F270" s="21">
        <f>IFERROR(INDEX(competency_model!$F$2:$F$25,MATCH(C270,competency_model!$A$2:$A$25,0)),"")</f>
        <v>3</v>
      </c>
      <c r="G270" s="21">
        <f t="shared" si="4"/>
        <v>2</v>
      </c>
      <c r="H270" s="23">
        <v>45879</v>
      </c>
      <c r="I270" s="16" t="s">
        <v>228</v>
      </c>
      <c r="J270" s="6" t="s">
        <v>587</v>
      </c>
    </row>
    <row r="271" spans="1:10" ht="15" customHeight="1">
      <c r="A271" s="5" t="s">
        <v>859</v>
      </c>
      <c r="B271" s="16" t="s">
        <v>81</v>
      </c>
      <c r="C271" s="16" t="s">
        <v>160</v>
      </c>
      <c r="D271" s="16" t="s">
        <v>586</v>
      </c>
      <c r="E271" s="21">
        <v>1</v>
      </c>
      <c r="F271" s="21">
        <f>IFERROR(INDEX(competency_model!$F$2:$F$25,MATCH(C271,competency_model!$A$2:$A$25,0)),"")</f>
        <v>3</v>
      </c>
      <c r="G271" s="21">
        <f t="shared" si="4"/>
        <v>2</v>
      </c>
      <c r="H271" s="23">
        <v>45979</v>
      </c>
      <c r="I271" s="16" t="s">
        <v>225</v>
      </c>
      <c r="J271" s="6" t="s">
        <v>584</v>
      </c>
    </row>
    <row r="272" spans="1:10" ht="15" customHeight="1">
      <c r="A272" s="5" t="s">
        <v>860</v>
      </c>
      <c r="B272" s="16" t="s">
        <v>81</v>
      </c>
      <c r="C272" s="16" t="s">
        <v>160</v>
      </c>
      <c r="D272" s="16" t="s">
        <v>589</v>
      </c>
      <c r="E272" s="21">
        <v>2</v>
      </c>
      <c r="F272" s="21">
        <f>IFERROR(INDEX(competency_model!$F$2:$F$25,MATCH(C272,competency_model!$A$2:$A$25,0)),"")</f>
        <v>3</v>
      </c>
      <c r="G272" s="21">
        <f t="shared" si="4"/>
        <v>1</v>
      </c>
      <c r="H272" s="23">
        <v>46057</v>
      </c>
      <c r="I272" s="16" t="s">
        <v>228</v>
      </c>
      <c r="J272" s="6" t="s">
        <v>596</v>
      </c>
    </row>
    <row r="273" spans="1:10" ht="15" customHeight="1">
      <c r="A273" s="5" t="s">
        <v>861</v>
      </c>
      <c r="B273" s="16" t="s">
        <v>81</v>
      </c>
      <c r="C273" s="16" t="s">
        <v>160</v>
      </c>
      <c r="D273" s="16" t="s">
        <v>591</v>
      </c>
      <c r="E273" s="21">
        <v>2</v>
      </c>
      <c r="F273" s="21">
        <f>IFERROR(INDEX(competency_model!$F$2:$F$25,MATCH(C273,competency_model!$A$2:$A$25,0)),"")</f>
        <v>3</v>
      </c>
      <c r="G273" s="21">
        <f t="shared" si="4"/>
        <v>1</v>
      </c>
      <c r="H273" s="23">
        <v>46161</v>
      </c>
      <c r="I273" s="16" t="s">
        <v>228</v>
      </c>
      <c r="J273" s="6" t="s">
        <v>584</v>
      </c>
    </row>
    <row r="274" spans="1:10" ht="15" customHeight="1">
      <c r="A274" s="5" t="s">
        <v>862</v>
      </c>
      <c r="B274" s="16" t="s">
        <v>81</v>
      </c>
      <c r="C274" s="16" t="s">
        <v>175</v>
      </c>
      <c r="D274" s="16" t="s">
        <v>583</v>
      </c>
      <c r="E274" s="21">
        <v>1</v>
      </c>
      <c r="F274" s="21">
        <f>IFERROR(INDEX(competency_model!$F$2:$F$25,MATCH(C274,competency_model!$A$2:$A$25,0)),"")</f>
        <v>4</v>
      </c>
      <c r="G274" s="21">
        <f t="shared" si="4"/>
        <v>3</v>
      </c>
      <c r="H274" s="23">
        <v>45882</v>
      </c>
      <c r="I274" s="16" t="s">
        <v>225</v>
      </c>
      <c r="J274" s="6" t="s">
        <v>596</v>
      </c>
    </row>
    <row r="275" spans="1:10" ht="15" customHeight="1">
      <c r="A275" s="5" t="s">
        <v>863</v>
      </c>
      <c r="B275" s="16" t="s">
        <v>81</v>
      </c>
      <c r="C275" s="16" t="s">
        <v>175</v>
      </c>
      <c r="D275" s="16" t="s">
        <v>586</v>
      </c>
      <c r="E275" s="21">
        <v>2</v>
      </c>
      <c r="F275" s="21">
        <f>IFERROR(INDEX(competency_model!$F$2:$F$25,MATCH(C275,competency_model!$A$2:$A$25,0)),"")</f>
        <v>4</v>
      </c>
      <c r="G275" s="21">
        <f t="shared" si="4"/>
        <v>2</v>
      </c>
      <c r="H275" s="23">
        <v>45964</v>
      </c>
      <c r="I275" s="16" t="s">
        <v>228</v>
      </c>
      <c r="J275" s="6" t="s">
        <v>592</v>
      </c>
    </row>
    <row r="276" spans="1:10" ht="15" customHeight="1">
      <c r="A276" s="5" t="s">
        <v>864</v>
      </c>
      <c r="B276" s="16" t="s">
        <v>81</v>
      </c>
      <c r="C276" s="16" t="s">
        <v>175</v>
      </c>
      <c r="D276" s="16" t="s">
        <v>589</v>
      </c>
      <c r="E276" s="21">
        <v>3</v>
      </c>
      <c r="F276" s="21">
        <f>IFERROR(INDEX(competency_model!$F$2:$F$25,MATCH(C276,competency_model!$A$2:$A$25,0)),"")</f>
        <v>4</v>
      </c>
      <c r="G276" s="21">
        <f t="shared" si="4"/>
        <v>1</v>
      </c>
      <c r="H276" s="23">
        <v>46080</v>
      </c>
      <c r="I276" s="16" t="s">
        <v>222</v>
      </c>
      <c r="J276" s="6" t="s">
        <v>587</v>
      </c>
    </row>
    <row r="277" spans="1:10" ht="15" customHeight="1">
      <c r="A277" s="5" t="s">
        <v>865</v>
      </c>
      <c r="B277" s="16" t="s">
        <v>81</v>
      </c>
      <c r="C277" s="16" t="s">
        <v>175</v>
      </c>
      <c r="D277" s="16" t="s">
        <v>591</v>
      </c>
      <c r="E277" s="21">
        <v>4</v>
      </c>
      <c r="F277" s="21">
        <f>IFERROR(INDEX(competency_model!$F$2:$F$25,MATCH(C277,competency_model!$A$2:$A$25,0)),"")</f>
        <v>4</v>
      </c>
      <c r="G277" s="21">
        <f t="shared" si="4"/>
        <v>0</v>
      </c>
      <c r="H277" s="23">
        <v>46162</v>
      </c>
      <c r="I277" s="16" t="s">
        <v>228</v>
      </c>
      <c r="J277" s="6" t="s">
        <v>587</v>
      </c>
    </row>
    <row r="278" spans="1:10" ht="15" customHeight="1">
      <c r="A278" s="5" t="s">
        <v>866</v>
      </c>
      <c r="B278" s="16" t="s">
        <v>81</v>
      </c>
      <c r="C278" s="16" t="s">
        <v>144</v>
      </c>
      <c r="D278" s="16" t="s">
        <v>583</v>
      </c>
      <c r="E278" s="21">
        <v>2</v>
      </c>
      <c r="F278" s="21">
        <f>IFERROR(INDEX(competency_model!$F$2:$F$25,MATCH(C278,competency_model!$A$2:$A$25,0)),"")</f>
        <v>4</v>
      </c>
      <c r="G278" s="21">
        <f t="shared" si="4"/>
        <v>2</v>
      </c>
      <c r="H278" s="23">
        <v>45888</v>
      </c>
      <c r="I278" s="16" t="s">
        <v>228</v>
      </c>
      <c r="J278" s="6" t="s">
        <v>592</v>
      </c>
    </row>
    <row r="279" spans="1:10" ht="15" customHeight="1">
      <c r="A279" s="5" t="s">
        <v>867</v>
      </c>
      <c r="B279" s="16" t="s">
        <v>81</v>
      </c>
      <c r="C279" s="16" t="s">
        <v>144</v>
      </c>
      <c r="D279" s="16" t="s">
        <v>586</v>
      </c>
      <c r="E279" s="21">
        <v>2</v>
      </c>
      <c r="F279" s="21">
        <f>IFERROR(INDEX(competency_model!$F$2:$F$25,MATCH(C279,competency_model!$A$2:$A$25,0)),"")</f>
        <v>4</v>
      </c>
      <c r="G279" s="21">
        <f t="shared" si="4"/>
        <v>2</v>
      </c>
      <c r="H279" s="23">
        <v>45974</v>
      </c>
      <c r="I279" s="16" t="s">
        <v>222</v>
      </c>
      <c r="J279" s="6" t="s">
        <v>596</v>
      </c>
    </row>
    <row r="280" spans="1:10" ht="15" customHeight="1">
      <c r="A280" s="5" t="s">
        <v>868</v>
      </c>
      <c r="B280" s="16" t="s">
        <v>81</v>
      </c>
      <c r="C280" s="16" t="s">
        <v>144</v>
      </c>
      <c r="D280" s="16" t="s">
        <v>589</v>
      </c>
      <c r="E280" s="21">
        <v>3</v>
      </c>
      <c r="F280" s="21">
        <f>IFERROR(INDEX(competency_model!$F$2:$F$25,MATCH(C280,competency_model!$A$2:$A$25,0)),"")</f>
        <v>4</v>
      </c>
      <c r="G280" s="21">
        <f t="shared" si="4"/>
        <v>1</v>
      </c>
      <c r="H280" s="23">
        <v>46077</v>
      </c>
      <c r="I280" s="16" t="s">
        <v>228</v>
      </c>
      <c r="J280" s="6" t="s">
        <v>587</v>
      </c>
    </row>
    <row r="281" spans="1:10" ht="15" customHeight="1">
      <c r="A281" s="5" t="s">
        <v>869</v>
      </c>
      <c r="B281" s="16" t="s">
        <v>81</v>
      </c>
      <c r="C281" s="16" t="s">
        <v>144</v>
      </c>
      <c r="D281" s="16" t="s">
        <v>591</v>
      </c>
      <c r="E281" s="21">
        <v>4</v>
      </c>
      <c r="F281" s="21">
        <f>IFERROR(INDEX(competency_model!$F$2:$F$25,MATCH(C281,competency_model!$A$2:$A$25,0)),"")</f>
        <v>4</v>
      </c>
      <c r="G281" s="21">
        <f t="shared" si="4"/>
        <v>0</v>
      </c>
      <c r="H281" s="23">
        <v>46159</v>
      </c>
      <c r="I281" s="16" t="s">
        <v>228</v>
      </c>
      <c r="J281" s="6" t="s">
        <v>596</v>
      </c>
    </row>
    <row r="282" spans="1:10" ht="15" customHeight="1">
      <c r="A282" s="5" t="s">
        <v>870</v>
      </c>
      <c r="B282" s="16" t="s">
        <v>81</v>
      </c>
      <c r="C282" s="16" t="s">
        <v>178</v>
      </c>
      <c r="D282" s="16" t="s">
        <v>583</v>
      </c>
      <c r="E282" s="21">
        <v>1</v>
      </c>
      <c r="F282" s="21">
        <f>IFERROR(INDEX(competency_model!$F$2:$F$25,MATCH(C282,competency_model!$A$2:$A$25,0)),"")</f>
        <v>3</v>
      </c>
      <c r="G282" s="21">
        <f t="shared" si="4"/>
        <v>2</v>
      </c>
      <c r="H282" s="23">
        <v>45886</v>
      </c>
      <c r="I282" s="16" t="s">
        <v>225</v>
      </c>
      <c r="J282" s="6" t="s">
        <v>584</v>
      </c>
    </row>
    <row r="283" spans="1:10" ht="15" customHeight="1">
      <c r="A283" s="5" t="s">
        <v>871</v>
      </c>
      <c r="B283" s="16" t="s">
        <v>81</v>
      </c>
      <c r="C283" s="16" t="s">
        <v>178</v>
      </c>
      <c r="D283" s="16" t="s">
        <v>586</v>
      </c>
      <c r="E283" s="21">
        <v>1</v>
      </c>
      <c r="F283" s="21">
        <f>IFERROR(INDEX(competency_model!$F$2:$F$25,MATCH(C283,competency_model!$A$2:$A$25,0)),"")</f>
        <v>3</v>
      </c>
      <c r="G283" s="21">
        <f t="shared" si="4"/>
        <v>2</v>
      </c>
      <c r="H283" s="23">
        <v>45968</v>
      </c>
      <c r="I283" s="16" t="s">
        <v>228</v>
      </c>
      <c r="J283" s="6" t="s">
        <v>584</v>
      </c>
    </row>
    <row r="284" spans="1:10" ht="15" customHeight="1">
      <c r="A284" s="5" t="s">
        <v>872</v>
      </c>
      <c r="B284" s="16" t="s">
        <v>81</v>
      </c>
      <c r="C284" s="16" t="s">
        <v>178</v>
      </c>
      <c r="D284" s="16" t="s">
        <v>589</v>
      </c>
      <c r="E284" s="21">
        <v>2</v>
      </c>
      <c r="F284" s="21">
        <f>IFERROR(INDEX(competency_model!$F$2:$F$25,MATCH(C284,competency_model!$A$2:$A$25,0)),"")</f>
        <v>3</v>
      </c>
      <c r="G284" s="21">
        <f t="shared" si="4"/>
        <v>1</v>
      </c>
      <c r="H284" s="23">
        <v>46070</v>
      </c>
      <c r="I284" s="16" t="s">
        <v>228</v>
      </c>
      <c r="J284" s="6" t="s">
        <v>592</v>
      </c>
    </row>
    <row r="285" spans="1:10" ht="15" customHeight="1">
      <c r="A285" s="5" t="s">
        <v>873</v>
      </c>
      <c r="B285" s="16" t="s">
        <v>81</v>
      </c>
      <c r="C285" s="16" t="s">
        <v>178</v>
      </c>
      <c r="D285" s="16" t="s">
        <v>591</v>
      </c>
      <c r="E285" s="21">
        <v>2</v>
      </c>
      <c r="F285" s="21">
        <f>IFERROR(INDEX(competency_model!$F$2:$F$25,MATCH(C285,competency_model!$A$2:$A$25,0)),"")</f>
        <v>3</v>
      </c>
      <c r="G285" s="21">
        <f t="shared" si="4"/>
        <v>1</v>
      </c>
      <c r="H285" s="23">
        <v>46154</v>
      </c>
      <c r="I285" s="16" t="s">
        <v>228</v>
      </c>
      <c r="J285" s="6" t="s">
        <v>587</v>
      </c>
    </row>
    <row r="286" spans="1:10" ht="15" customHeight="1">
      <c r="A286" s="5" t="s">
        <v>874</v>
      </c>
      <c r="B286" s="16" t="s">
        <v>81</v>
      </c>
      <c r="C286" s="16" t="s">
        <v>154</v>
      </c>
      <c r="D286" s="16" t="s">
        <v>583</v>
      </c>
      <c r="E286" s="21">
        <v>1</v>
      </c>
      <c r="F286" s="21">
        <f>IFERROR(INDEX(competency_model!$F$2:$F$25,MATCH(C286,competency_model!$A$2:$A$25,0)),"")</f>
        <v>4</v>
      </c>
      <c r="G286" s="21">
        <f t="shared" si="4"/>
        <v>3</v>
      </c>
      <c r="H286" s="23">
        <v>45889</v>
      </c>
      <c r="I286" s="16" t="s">
        <v>228</v>
      </c>
      <c r="J286" s="6" t="s">
        <v>596</v>
      </c>
    </row>
    <row r="287" spans="1:10" ht="15" customHeight="1">
      <c r="A287" s="5" t="s">
        <v>875</v>
      </c>
      <c r="B287" s="16" t="s">
        <v>81</v>
      </c>
      <c r="C287" s="16" t="s">
        <v>154</v>
      </c>
      <c r="D287" s="16" t="s">
        <v>586</v>
      </c>
      <c r="E287" s="21">
        <v>1</v>
      </c>
      <c r="F287" s="21">
        <f>IFERROR(INDEX(competency_model!$F$2:$F$25,MATCH(C287,competency_model!$A$2:$A$25,0)),"")</f>
        <v>4</v>
      </c>
      <c r="G287" s="21">
        <f t="shared" si="4"/>
        <v>3</v>
      </c>
      <c r="H287" s="23">
        <v>45981</v>
      </c>
      <c r="I287" s="16" t="s">
        <v>225</v>
      </c>
      <c r="J287" s="6" t="s">
        <v>596</v>
      </c>
    </row>
    <row r="288" spans="1:10" ht="15" customHeight="1">
      <c r="A288" s="5" t="s">
        <v>876</v>
      </c>
      <c r="B288" s="16" t="s">
        <v>81</v>
      </c>
      <c r="C288" s="16" t="s">
        <v>154</v>
      </c>
      <c r="D288" s="16" t="s">
        <v>589</v>
      </c>
      <c r="E288" s="21">
        <v>1</v>
      </c>
      <c r="F288" s="21">
        <f>IFERROR(INDEX(competency_model!$F$2:$F$25,MATCH(C288,competency_model!$A$2:$A$25,0)),"")</f>
        <v>4</v>
      </c>
      <c r="G288" s="21">
        <f t="shared" si="4"/>
        <v>3</v>
      </c>
      <c r="H288" s="23">
        <v>46079</v>
      </c>
      <c r="I288" s="16" t="s">
        <v>228</v>
      </c>
      <c r="J288" s="6" t="s">
        <v>596</v>
      </c>
    </row>
    <row r="289" spans="1:10" ht="15" customHeight="1">
      <c r="A289" s="5" t="s">
        <v>877</v>
      </c>
      <c r="B289" s="16" t="s">
        <v>81</v>
      </c>
      <c r="C289" s="16" t="s">
        <v>154</v>
      </c>
      <c r="D289" s="16" t="s">
        <v>591</v>
      </c>
      <c r="E289" s="21">
        <v>2</v>
      </c>
      <c r="F289" s="21">
        <f>IFERROR(INDEX(competency_model!$F$2:$F$25,MATCH(C289,competency_model!$A$2:$A$25,0)),"")</f>
        <v>4</v>
      </c>
      <c r="G289" s="21">
        <f t="shared" si="4"/>
        <v>2</v>
      </c>
      <c r="H289" s="23">
        <v>46157</v>
      </c>
      <c r="I289" s="16" t="s">
        <v>228</v>
      </c>
      <c r="J289" s="6" t="s">
        <v>592</v>
      </c>
    </row>
    <row r="290" spans="1:10" ht="15" customHeight="1">
      <c r="A290" s="5" t="s">
        <v>878</v>
      </c>
      <c r="B290" s="16" t="s">
        <v>81</v>
      </c>
      <c r="C290" s="16" t="s">
        <v>192</v>
      </c>
      <c r="D290" s="16" t="s">
        <v>583</v>
      </c>
      <c r="E290" s="21">
        <v>3</v>
      </c>
      <c r="F290" s="21">
        <f>IFERROR(INDEX(competency_model!$F$2:$F$25,MATCH(C290,competency_model!$A$2:$A$25,0)),"")</f>
        <v>4</v>
      </c>
      <c r="G290" s="21">
        <f t="shared" si="4"/>
        <v>1</v>
      </c>
      <c r="H290" s="23">
        <v>45879</v>
      </c>
      <c r="I290" s="16" t="s">
        <v>225</v>
      </c>
      <c r="J290" s="6" t="s">
        <v>596</v>
      </c>
    </row>
    <row r="291" spans="1:10" ht="15" customHeight="1">
      <c r="A291" s="5" t="s">
        <v>879</v>
      </c>
      <c r="B291" s="16" t="s">
        <v>81</v>
      </c>
      <c r="C291" s="16" t="s">
        <v>192</v>
      </c>
      <c r="D291" s="16" t="s">
        <v>586</v>
      </c>
      <c r="E291" s="21">
        <v>4</v>
      </c>
      <c r="F291" s="21">
        <f>IFERROR(INDEX(competency_model!$F$2:$F$25,MATCH(C291,competency_model!$A$2:$A$25,0)),"")</f>
        <v>4</v>
      </c>
      <c r="G291" s="21">
        <f t="shared" si="4"/>
        <v>0</v>
      </c>
      <c r="H291" s="23">
        <v>45984</v>
      </c>
      <c r="I291" s="16" t="s">
        <v>228</v>
      </c>
      <c r="J291" s="6" t="s">
        <v>592</v>
      </c>
    </row>
    <row r="292" spans="1:10" ht="15" customHeight="1">
      <c r="A292" s="5" t="s">
        <v>880</v>
      </c>
      <c r="B292" s="16" t="s">
        <v>81</v>
      </c>
      <c r="C292" s="16" t="s">
        <v>192</v>
      </c>
      <c r="D292" s="16" t="s">
        <v>589</v>
      </c>
      <c r="E292" s="21">
        <v>5</v>
      </c>
      <c r="F292" s="21">
        <f>IFERROR(INDEX(competency_model!$F$2:$F$25,MATCH(C292,competency_model!$A$2:$A$25,0)),"")</f>
        <v>4</v>
      </c>
      <c r="G292" s="21">
        <f t="shared" si="4"/>
        <v>0</v>
      </c>
      <c r="H292" s="23">
        <v>46066</v>
      </c>
      <c r="I292" s="16" t="s">
        <v>225</v>
      </c>
      <c r="J292" s="6" t="s">
        <v>587</v>
      </c>
    </row>
    <row r="293" spans="1:10" ht="15" customHeight="1">
      <c r="A293" s="5" t="s">
        <v>881</v>
      </c>
      <c r="B293" s="16" t="s">
        <v>81</v>
      </c>
      <c r="C293" s="16" t="s">
        <v>192</v>
      </c>
      <c r="D293" s="16" t="s">
        <v>591</v>
      </c>
      <c r="E293" s="21">
        <v>5</v>
      </c>
      <c r="F293" s="21">
        <f>IFERROR(INDEX(competency_model!$F$2:$F$25,MATCH(C293,competency_model!$A$2:$A$25,0)),"")</f>
        <v>4</v>
      </c>
      <c r="G293" s="21">
        <f t="shared" si="4"/>
        <v>0</v>
      </c>
      <c r="H293" s="23">
        <v>46152</v>
      </c>
      <c r="I293" s="16" t="s">
        <v>225</v>
      </c>
      <c r="J293" s="6" t="s">
        <v>587</v>
      </c>
    </row>
    <row r="294" spans="1:10" ht="15" customHeight="1">
      <c r="A294" s="5" t="s">
        <v>882</v>
      </c>
      <c r="B294" s="16" t="s">
        <v>81</v>
      </c>
      <c r="C294" s="16" t="s">
        <v>202</v>
      </c>
      <c r="D294" s="16" t="s">
        <v>583</v>
      </c>
      <c r="E294" s="21">
        <v>2</v>
      </c>
      <c r="F294" s="21">
        <f>IFERROR(INDEX(competency_model!$F$2:$F$25,MATCH(C294,competency_model!$A$2:$A$25,0)),"")</f>
        <v>3</v>
      </c>
      <c r="G294" s="21">
        <f t="shared" si="4"/>
        <v>1</v>
      </c>
      <c r="H294" s="23">
        <v>45877</v>
      </c>
      <c r="I294" s="16" t="s">
        <v>228</v>
      </c>
      <c r="J294" s="6" t="s">
        <v>596</v>
      </c>
    </row>
    <row r="295" spans="1:10" ht="15" customHeight="1">
      <c r="A295" s="5" t="s">
        <v>883</v>
      </c>
      <c r="B295" s="16" t="s">
        <v>81</v>
      </c>
      <c r="C295" s="16" t="s">
        <v>202</v>
      </c>
      <c r="D295" s="16" t="s">
        <v>586</v>
      </c>
      <c r="E295" s="21">
        <v>2</v>
      </c>
      <c r="F295" s="21">
        <f>IFERROR(INDEX(competency_model!$F$2:$F$25,MATCH(C295,competency_model!$A$2:$A$25,0)),"")</f>
        <v>3</v>
      </c>
      <c r="G295" s="21">
        <f t="shared" si="4"/>
        <v>1</v>
      </c>
      <c r="H295" s="23">
        <v>45984</v>
      </c>
      <c r="I295" s="16" t="s">
        <v>225</v>
      </c>
      <c r="J295" s="6" t="s">
        <v>587</v>
      </c>
    </row>
    <row r="296" spans="1:10" ht="15" customHeight="1">
      <c r="A296" s="5" t="s">
        <v>884</v>
      </c>
      <c r="B296" s="16" t="s">
        <v>81</v>
      </c>
      <c r="C296" s="16" t="s">
        <v>202</v>
      </c>
      <c r="D296" s="16" t="s">
        <v>589</v>
      </c>
      <c r="E296" s="21">
        <v>4</v>
      </c>
      <c r="F296" s="21">
        <f>IFERROR(INDEX(competency_model!$F$2:$F$25,MATCH(C296,competency_model!$A$2:$A$25,0)),"")</f>
        <v>3</v>
      </c>
      <c r="G296" s="21">
        <f t="shared" si="4"/>
        <v>0</v>
      </c>
      <c r="H296" s="23">
        <v>46056</v>
      </c>
      <c r="I296" s="16" t="s">
        <v>228</v>
      </c>
      <c r="J296" s="6" t="s">
        <v>592</v>
      </c>
    </row>
    <row r="297" spans="1:10" ht="15" customHeight="1">
      <c r="A297" s="5" t="s">
        <v>885</v>
      </c>
      <c r="B297" s="16" t="s">
        <v>81</v>
      </c>
      <c r="C297" s="16" t="s">
        <v>202</v>
      </c>
      <c r="D297" s="16" t="s">
        <v>591</v>
      </c>
      <c r="E297" s="21">
        <v>4</v>
      </c>
      <c r="F297" s="21">
        <f>IFERROR(INDEX(competency_model!$F$2:$F$25,MATCH(C297,competency_model!$A$2:$A$25,0)),"")</f>
        <v>3</v>
      </c>
      <c r="G297" s="21">
        <f t="shared" si="4"/>
        <v>0</v>
      </c>
      <c r="H297" s="23">
        <v>46169</v>
      </c>
      <c r="I297" s="16" t="s">
        <v>228</v>
      </c>
      <c r="J297" s="6" t="s">
        <v>587</v>
      </c>
    </row>
    <row r="298" spans="1:10" ht="15" customHeight="1">
      <c r="A298" s="5" t="s">
        <v>886</v>
      </c>
      <c r="B298" s="16" t="s">
        <v>84</v>
      </c>
      <c r="C298" s="16" t="s">
        <v>178</v>
      </c>
      <c r="D298" s="16" t="s">
        <v>583</v>
      </c>
      <c r="E298" s="21">
        <v>1</v>
      </c>
      <c r="F298" s="21">
        <f>IFERROR(INDEX(competency_model!$F$2:$F$25,MATCH(C298,competency_model!$A$2:$A$25,0)),"")</f>
        <v>3</v>
      </c>
      <c r="G298" s="21">
        <f t="shared" si="4"/>
        <v>2</v>
      </c>
      <c r="H298" s="23">
        <v>45892</v>
      </c>
      <c r="I298" s="16" t="s">
        <v>222</v>
      </c>
      <c r="J298" s="6" t="s">
        <v>587</v>
      </c>
    </row>
    <row r="299" spans="1:10" ht="15" customHeight="1">
      <c r="A299" s="5" t="s">
        <v>887</v>
      </c>
      <c r="B299" s="16" t="s">
        <v>84</v>
      </c>
      <c r="C299" s="16" t="s">
        <v>178</v>
      </c>
      <c r="D299" s="16" t="s">
        <v>586</v>
      </c>
      <c r="E299" s="21">
        <v>1</v>
      </c>
      <c r="F299" s="21">
        <f>IFERROR(INDEX(competency_model!$F$2:$F$25,MATCH(C299,competency_model!$A$2:$A$25,0)),"")</f>
        <v>3</v>
      </c>
      <c r="G299" s="21">
        <f t="shared" si="4"/>
        <v>2</v>
      </c>
      <c r="H299" s="23">
        <v>45971</v>
      </c>
      <c r="I299" s="16" t="s">
        <v>222</v>
      </c>
      <c r="J299" s="6" t="s">
        <v>592</v>
      </c>
    </row>
    <row r="300" spans="1:10" ht="15" customHeight="1">
      <c r="A300" s="5" t="s">
        <v>888</v>
      </c>
      <c r="B300" s="16" t="s">
        <v>84</v>
      </c>
      <c r="C300" s="16" t="s">
        <v>178</v>
      </c>
      <c r="D300" s="16" t="s">
        <v>589</v>
      </c>
      <c r="E300" s="21">
        <v>1</v>
      </c>
      <c r="F300" s="21">
        <f>IFERROR(INDEX(competency_model!$F$2:$F$25,MATCH(C300,competency_model!$A$2:$A$25,0)),"")</f>
        <v>3</v>
      </c>
      <c r="G300" s="21">
        <f t="shared" si="4"/>
        <v>2</v>
      </c>
      <c r="H300" s="23">
        <v>46056</v>
      </c>
      <c r="I300" s="16" t="s">
        <v>222</v>
      </c>
      <c r="J300" s="6" t="s">
        <v>584</v>
      </c>
    </row>
    <row r="301" spans="1:10" ht="15" customHeight="1">
      <c r="A301" s="5" t="s">
        <v>889</v>
      </c>
      <c r="B301" s="16" t="s">
        <v>84</v>
      </c>
      <c r="C301" s="16" t="s">
        <v>178</v>
      </c>
      <c r="D301" s="16" t="s">
        <v>591</v>
      </c>
      <c r="E301" s="21">
        <v>3</v>
      </c>
      <c r="F301" s="21">
        <f>IFERROR(INDEX(competency_model!$F$2:$F$25,MATCH(C301,competency_model!$A$2:$A$25,0)),"")</f>
        <v>3</v>
      </c>
      <c r="G301" s="21">
        <f t="shared" si="4"/>
        <v>0</v>
      </c>
      <c r="H301" s="23">
        <v>46154</v>
      </c>
      <c r="I301" s="16" t="s">
        <v>222</v>
      </c>
      <c r="J301" s="6" t="s">
        <v>587</v>
      </c>
    </row>
    <row r="302" spans="1:10" ht="15" customHeight="1">
      <c r="A302" s="5" t="s">
        <v>890</v>
      </c>
      <c r="B302" s="16" t="s">
        <v>84</v>
      </c>
      <c r="C302" s="16" t="s">
        <v>189</v>
      </c>
      <c r="D302" s="16" t="s">
        <v>583</v>
      </c>
      <c r="E302" s="21">
        <v>1</v>
      </c>
      <c r="F302" s="21">
        <f>IFERROR(INDEX(competency_model!$F$2:$F$25,MATCH(C302,competency_model!$A$2:$A$25,0)),"")</f>
        <v>4</v>
      </c>
      <c r="G302" s="21">
        <f t="shared" si="4"/>
        <v>3</v>
      </c>
      <c r="H302" s="23">
        <v>45884</v>
      </c>
      <c r="I302" s="16" t="s">
        <v>222</v>
      </c>
      <c r="J302" s="6" t="s">
        <v>592</v>
      </c>
    </row>
    <row r="303" spans="1:10" ht="15" customHeight="1">
      <c r="A303" s="5" t="s">
        <v>891</v>
      </c>
      <c r="B303" s="16" t="s">
        <v>84</v>
      </c>
      <c r="C303" s="16" t="s">
        <v>189</v>
      </c>
      <c r="D303" s="16" t="s">
        <v>586</v>
      </c>
      <c r="E303" s="21">
        <v>2</v>
      </c>
      <c r="F303" s="21">
        <f>IFERROR(INDEX(competency_model!$F$2:$F$25,MATCH(C303,competency_model!$A$2:$A$25,0)),"")</f>
        <v>4</v>
      </c>
      <c r="G303" s="21">
        <f t="shared" si="4"/>
        <v>2</v>
      </c>
      <c r="H303" s="23">
        <v>45984</v>
      </c>
      <c r="I303" s="16" t="s">
        <v>228</v>
      </c>
      <c r="J303" s="6" t="s">
        <v>596</v>
      </c>
    </row>
    <row r="304" spans="1:10" ht="15" customHeight="1">
      <c r="A304" s="5" t="s">
        <v>892</v>
      </c>
      <c r="B304" s="16" t="s">
        <v>84</v>
      </c>
      <c r="C304" s="16" t="s">
        <v>189</v>
      </c>
      <c r="D304" s="16" t="s">
        <v>589</v>
      </c>
      <c r="E304" s="21">
        <v>3</v>
      </c>
      <c r="F304" s="21">
        <f>IFERROR(INDEX(competency_model!$F$2:$F$25,MATCH(C304,competency_model!$A$2:$A$25,0)),"")</f>
        <v>4</v>
      </c>
      <c r="G304" s="21">
        <f t="shared" si="4"/>
        <v>1</v>
      </c>
      <c r="H304" s="23">
        <v>46076</v>
      </c>
      <c r="I304" s="16" t="s">
        <v>228</v>
      </c>
      <c r="J304" s="6" t="s">
        <v>587</v>
      </c>
    </row>
    <row r="305" spans="1:10" ht="15" customHeight="1">
      <c r="A305" s="5" t="s">
        <v>893</v>
      </c>
      <c r="B305" s="16" t="s">
        <v>84</v>
      </c>
      <c r="C305" s="16" t="s">
        <v>189</v>
      </c>
      <c r="D305" s="16" t="s">
        <v>591</v>
      </c>
      <c r="E305" s="21">
        <v>4</v>
      </c>
      <c r="F305" s="21">
        <f>IFERROR(INDEX(competency_model!$F$2:$F$25,MATCH(C305,competency_model!$A$2:$A$25,0)),"")</f>
        <v>4</v>
      </c>
      <c r="G305" s="21">
        <f t="shared" si="4"/>
        <v>0</v>
      </c>
      <c r="H305" s="23">
        <v>46164</v>
      </c>
      <c r="I305" s="16" t="s">
        <v>225</v>
      </c>
      <c r="J305" s="6" t="s">
        <v>587</v>
      </c>
    </row>
    <row r="306" spans="1:10" ht="15" customHeight="1">
      <c r="A306" s="5" t="s">
        <v>894</v>
      </c>
      <c r="B306" s="16" t="s">
        <v>84</v>
      </c>
      <c r="C306" s="16" t="s">
        <v>149</v>
      </c>
      <c r="D306" s="16" t="s">
        <v>583</v>
      </c>
      <c r="E306" s="21">
        <v>3</v>
      </c>
      <c r="F306" s="21">
        <f>IFERROR(INDEX(competency_model!$F$2:$F$25,MATCH(C306,competency_model!$A$2:$A$25,0)),"")</f>
        <v>4</v>
      </c>
      <c r="G306" s="21">
        <f t="shared" si="4"/>
        <v>1</v>
      </c>
      <c r="H306" s="23">
        <v>45893</v>
      </c>
      <c r="I306" s="16" t="s">
        <v>228</v>
      </c>
      <c r="J306" s="6" t="s">
        <v>587</v>
      </c>
    </row>
    <row r="307" spans="1:10" ht="15" customHeight="1">
      <c r="A307" s="5" t="s">
        <v>895</v>
      </c>
      <c r="B307" s="16" t="s">
        <v>84</v>
      </c>
      <c r="C307" s="16" t="s">
        <v>149</v>
      </c>
      <c r="D307" s="16" t="s">
        <v>586</v>
      </c>
      <c r="E307" s="21">
        <v>3</v>
      </c>
      <c r="F307" s="21">
        <f>IFERROR(INDEX(competency_model!$F$2:$F$25,MATCH(C307,competency_model!$A$2:$A$25,0)),"")</f>
        <v>4</v>
      </c>
      <c r="G307" s="21">
        <f t="shared" si="4"/>
        <v>1</v>
      </c>
      <c r="H307" s="23">
        <v>45983</v>
      </c>
      <c r="I307" s="16" t="s">
        <v>228</v>
      </c>
      <c r="J307" s="6" t="s">
        <v>587</v>
      </c>
    </row>
    <row r="308" spans="1:10" ht="15" customHeight="1">
      <c r="A308" s="5" t="s">
        <v>896</v>
      </c>
      <c r="B308" s="16" t="s">
        <v>84</v>
      </c>
      <c r="C308" s="16" t="s">
        <v>149</v>
      </c>
      <c r="D308" s="16" t="s">
        <v>589</v>
      </c>
      <c r="E308" s="21">
        <v>5</v>
      </c>
      <c r="F308" s="21">
        <f>IFERROR(INDEX(competency_model!$F$2:$F$25,MATCH(C308,competency_model!$A$2:$A$25,0)),"")</f>
        <v>4</v>
      </c>
      <c r="G308" s="21">
        <f t="shared" si="4"/>
        <v>0</v>
      </c>
      <c r="H308" s="23">
        <v>46074</v>
      </c>
      <c r="I308" s="16" t="s">
        <v>228</v>
      </c>
      <c r="J308" s="6" t="s">
        <v>584</v>
      </c>
    </row>
    <row r="309" spans="1:10" ht="15" customHeight="1">
      <c r="A309" s="5" t="s">
        <v>897</v>
      </c>
      <c r="B309" s="16" t="s">
        <v>84</v>
      </c>
      <c r="C309" s="16" t="s">
        <v>149</v>
      </c>
      <c r="D309" s="16" t="s">
        <v>591</v>
      </c>
      <c r="E309" s="21">
        <v>5</v>
      </c>
      <c r="F309" s="21">
        <f>IFERROR(INDEX(competency_model!$F$2:$F$25,MATCH(C309,competency_model!$A$2:$A$25,0)),"")</f>
        <v>4</v>
      </c>
      <c r="G309" s="21">
        <f t="shared" si="4"/>
        <v>0</v>
      </c>
      <c r="H309" s="23">
        <v>46163</v>
      </c>
      <c r="I309" s="16" t="s">
        <v>228</v>
      </c>
      <c r="J309" s="6" t="s">
        <v>596</v>
      </c>
    </row>
    <row r="310" spans="1:10" ht="15" customHeight="1">
      <c r="A310" s="5" t="s">
        <v>898</v>
      </c>
      <c r="B310" s="16" t="s">
        <v>84</v>
      </c>
      <c r="C310" s="16" t="s">
        <v>163</v>
      </c>
      <c r="D310" s="16" t="s">
        <v>583</v>
      </c>
      <c r="E310" s="21">
        <v>1</v>
      </c>
      <c r="F310" s="21">
        <f>IFERROR(INDEX(competency_model!$F$2:$F$25,MATCH(C310,competency_model!$A$2:$A$25,0)),"")</f>
        <v>4</v>
      </c>
      <c r="G310" s="21">
        <f t="shared" si="4"/>
        <v>3</v>
      </c>
      <c r="H310" s="23">
        <v>45877</v>
      </c>
      <c r="I310" s="16" t="s">
        <v>225</v>
      </c>
      <c r="J310" s="6" t="s">
        <v>596</v>
      </c>
    </row>
    <row r="311" spans="1:10" ht="15" customHeight="1">
      <c r="A311" s="5" t="s">
        <v>899</v>
      </c>
      <c r="B311" s="16" t="s">
        <v>84</v>
      </c>
      <c r="C311" s="16" t="s">
        <v>163</v>
      </c>
      <c r="D311" s="16" t="s">
        <v>586</v>
      </c>
      <c r="E311" s="21">
        <v>1</v>
      </c>
      <c r="F311" s="21">
        <f>IFERROR(INDEX(competency_model!$F$2:$F$25,MATCH(C311,competency_model!$A$2:$A$25,0)),"")</f>
        <v>4</v>
      </c>
      <c r="G311" s="21">
        <f t="shared" si="4"/>
        <v>3</v>
      </c>
      <c r="H311" s="23">
        <v>45972</v>
      </c>
      <c r="I311" s="16" t="s">
        <v>228</v>
      </c>
      <c r="J311" s="6" t="s">
        <v>592</v>
      </c>
    </row>
    <row r="312" spans="1:10" ht="15" customHeight="1">
      <c r="A312" s="5" t="s">
        <v>900</v>
      </c>
      <c r="B312" s="16" t="s">
        <v>84</v>
      </c>
      <c r="C312" s="16" t="s">
        <v>163</v>
      </c>
      <c r="D312" s="16" t="s">
        <v>589</v>
      </c>
      <c r="E312" s="21">
        <v>2</v>
      </c>
      <c r="F312" s="21">
        <f>IFERROR(INDEX(competency_model!$F$2:$F$25,MATCH(C312,competency_model!$A$2:$A$25,0)),"")</f>
        <v>4</v>
      </c>
      <c r="G312" s="21">
        <f t="shared" si="4"/>
        <v>2</v>
      </c>
      <c r="H312" s="23">
        <v>46079</v>
      </c>
      <c r="I312" s="16" t="s">
        <v>228</v>
      </c>
      <c r="J312" s="6" t="s">
        <v>587</v>
      </c>
    </row>
    <row r="313" spans="1:10" ht="15" customHeight="1">
      <c r="A313" s="5" t="s">
        <v>901</v>
      </c>
      <c r="B313" s="16" t="s">
        <v>84</v>
      </c>
      <c r="C313" s="16" t="s">
        <v>163</v>
      </c>
      <c r="D313" s="16" t="s">
        <v>591</v>
      </c>
      <c r="E313" s="21">
        <v>3</v>
      </c>
      <c r="F313" s="21">
        <f>IFERROR(INDEX(competency_model!$F$2:$F$25,MATCH(C313,competency_model!$A$2:$A$25,0)),"")</f>
        <v>4</v>
      </c>
      <c r="G313" s="21">
        <f t="shared" si="4"/>
        <v>1</v>
      </c>
      <c r="H313" s="23">
        <v>46167</v>
      </c>
      <c r="I313" s="16" t="s">
        <v>225</v>
      </c>
      <c r="J313" s="6" t="s">
        <v>584</v>
      </c>
    </row>
    <row r="314" spans="1:10" ht="15" customHeight="1">
      <c r="A314" s="5" t="s">
        <v>902</v>
      </c>
      <c r="B314" s="16" t="s">
        <v>84</v>
      </c>
      <c r="C314" s="16" t="s">
        <v>186</v>
      </c>
      <c r="D314" s="16" t="s">
        <v>583</v>
      </c>
      <c r="E314" s="21">
        <v>1</v>
      </c>
      <c r="F314" s="21">
        <f>IFERROR(INDEX(competency_model!$F$2:$F$25,MATCH(C314,competency_model!$A$2:$A$25,0)),"")</f>
        <v>3</v>
      </c>
      <c r="G314" s="21">
        <f t="shared" si="4"/>
        <v>2</v>
      </c>
      <c r="H314" s="23">
        <v>45887</v>
      </c>
      <c r="I314" s="16" t="s">
        <v>228</v>
      </c>
      <c r="J314" s="6" t="s">
        <v>596</v>
      </c>
    </row>
    <row r="315" spans="1:10" ht="15" customHeight="1">
      <c r="A315" s="5" t="s">
        <v>903</v>
      </c>
      <c r="B315" s="16" t="s">
        <v>84</v>
      </c>
      <c r="C315" s="16" t="s">
        <v>186</v>
      </c>
      <c r="D315" s="16" t="s">
        <v>586</v>
      </c>
      <c r="E315" s="21">
        <v>1</v>
      </c>
      <c r="F315" s="21">
        <f>IFERROR(INDEX(competency_model!$F$2:$F$25,MATCH(C315,competency_model!$A$2:$A$25,0)),"")</f>
        <v>3</v>
      </c>
      <c r="G315" s="21">
        <f t="shared" si="4"/>
        <v>2</v>
      </c>
      <c r="H315" s="23">
        <v>45966</v>
      </c>
      <c r="I315" s="16" t="s">
        <v>228</v>
      </c>
      <c r="J315" s="6" t="s">
        <v>584</v>
      </c>
    </row>
    <row r="316" spans="1:10" ht="15" customHeight="1">
      <c r="A316" s="5" t="s">
        <v>904</v>
      </c>
      <c r="B316" s="16" t="s">
        <v>84</v>
      </c>
      <c r="C316" s="16" t="s">
        <v>186</v>
      </c>
      <c r="D316" s="16" t="s">
        <v>589</v>
      </c>
      <c r="E316" s="21">
        <v>1</v>
      </c>
      <c r="F316" s="21">
        <f>IFERROR(INDEX(competency_model!$F$2:$F$25,MATCH(C316,competency_model!$A$2:$A$25,0)),"")</f>
        <v>3</v>
      </c>
      <c r="G316" s="21">
        <f t="shared" si="4"/>
        <v>2</v>
      </c>
      <c r="H316" s="23">
        <v>46056</v>
      </c>
      <c r="I316" s="16" t="s">
        <v>225</v>
      </c>
      <c r="J316" s="6" t="s">
        <v>584</v>
      </c>
    </row>
    <row r="317" spans="1:10" ht="15" customHeight="1">
      <c r="A317" s="5" t="s">
        <v>905</v>
      </c>
      <c r="B317" s="16" t="s">
        <v>84</v>
      </c>
      <c r="C317" s="16" t="s">
        <v>186</v>
      </c>
      <c r="D317" s="16" t="s">
        <v>591</v>
      </c>
      <c r="E317" s="21">
        <v>3</v>
      </c>
      <c r="F317" s="21">
        <f>IFERROR(INDEX(competency_model!$F$2:$F$25,MATCH(C317,competency_model!$A$2:$A$25,0)),"")</f>
        <v>3</v>
      </c>
      <c r="G317" s="21">
        <f t="shared" si="4"/>
        <v>0</v>
      </c>
      <c r="H317" s="23">
        <v>46162</v>
      </c>
      <c r="I317" s="16" t="s">
        <v>225</v>
      </c>
      <c r="J317" s="6" t="s">
        <v>596</v>
      </c>
    </row>
    <row r="318" spans="1:10" ht="15" customHeight="1">
      <c r="A318" s="5" t="s">
        <v>906</v>
      </c>
      <c r="B318" s="16" t="s">
        <v>84</v>
      </c>
      <c r="C318" s="16" t="s">
        <v>197</v>
      </c>
      <c r="D318" s="16" t="s">
        <v>583</v>
      </c>
      <c r="E318" s="21">
        <v>1</v>
      </c>
      <c r="F318" s="21">
        <f>IFERROR(INDEX(competency_model!$F$2:$F$25,MATCH(C318,competency_model!$A$2:$A$25,0)),"")</f>
        <v>3</v>
      </c>
      <c r="G318" s="21">
        <f t="shared" si="4"/>
        <v>2</v>
      </c>
      <c r="H318" s="23">
        <v>45886</v>
      </c>
      <c r="I318" s="16" t="s">
        <v>222</v>
      </c>
      <c r="J318" s="6" t="s">
        <v>592</v>
      </c>
    </row>
    <row r="319" spans="1:10" ht="15" customHeight="1">
      <c r="A319" s="5" t="s">
        <v>907</v>
      </c>
      <c r="B319" s="16" t="s">
        <v>84</v>
      </c>
      <c r="C319" s="16" t="s">
        <v>197</v>
      </c>
      <c r="D319" s="16" t="s">
        <v>586</v>
      </c>
      <c r="E319" s="21">
        <v>1</v>
      </c>
      <c r="F319" s="21">
        <f>IFERROR(INDEX(competency_model!$F$2:$F$25,MATCH(C319,competency_model!$A$2:$A$25,0)),"")</f>
        <v>3</v>
      </c>
      <c r="G319" s="21">
        <f t="shared" si="4"/>
        <v>2</v>
      </c>
      <c r="H319" s="23">
        <v>45986</v>
      </c>
      <c r="I319" s="16" t="s">
        <v>222</v>
      </c>
      <c r="J319" s="6" t="s">
        <v>592</v>
      </c>
    </row>
    <row r="320" spans="1:10" ht="15" customHeight="1">
      <c r="A320" s="5" t="s">
        <v>908</v>
      </c>
      <c r="B320" s="16" t="s">
        <v>84</v>
      </c>
      <c r="C320" s="16" t="s">
        <v>197</v>
      </c>
      <c r="D320" s="16" t="s">
        <v>589</v>
      </c>
      <c r="E320" s="21">
        <v>2</v>
      </c>
      <c r="F320" s="21">
        <f>IFERROR(INDEX(competency_model!$F$2:$F$25,MATCH(C320,competency_model!$A$2:$A$25,0)),"")</f>
        <v>3</v>
      </c>
      <c r="G320" s="21">
        <f t="shared" si="4"/>
        <v>1</v>
      </c>
      <c r="H320" s="23">
        <v>46056</v>
      </c>
      <c r="I320" s="16" t="s">
        <v>222</v>
      </c>
      <c r="J320" s="6" t="s">
        <v>584</v>
      </c>
    </row>
    <row r="321" spans="1:10" ht="15" customHeight="1">
      <c r="A321" s="5" t="s">
        <v>909</v>
      </c>
      <c r="B321" s="16" t="s">
        <v>84</v>
      </c>
      <c r="C321" s="16" t="s">
        <v>197</v>
      </c>
      <c r="D321" s="16" t="s">
        <v>591</v>
      </c>
      <c r="E321" s="21">
        <v>2</v>
      </c>
      <c r="F321" s="21">
        <f>IFERROR(INDEX(competency_model!$F$2:$F$25,MATCH(C321,competency_model!$A$2:$A$25,0)),"")</f>
        <v>3</v>
      </c>
      <c r="G321" s="21">
        <f t="shared" si="4"/>
        <v>1</v>
      </c>
      <c r="H321" s="23">
        <v>46156</v>
      </c>
      <c r="I321" s="16" t="s">
        <v>225</v>
      </c>
      <c r="J321" s="6" t="s">
        <v>592</v>
      </c>
    </row>
    <row r="322" spans="1:10" ht="15" customHeight="1">
      <c r="A322" s="5" t="s">
        <v>910</v>
      </c>
      <c r="B322" s="16" t="s">
        <v>84</v>
      </c>
      <c r="C322" s="16" t="s">
        <v>160</v>
      </c>
      <c r="D322" s="16" t="s">
        <v>583</v>
      </c>
      <c r="E322" s="21">
        <v>1</v>
      </c>
      <c r="F322" s="21">
        <f>IFERROR(INDEX(competency_model!$F$2:$F$25,MATCH(C322,competency_model!$A$2:$A$25,0)),"")</f>
        <v>3</v>
      </c>
      <c r="G322" s="21">
        <f t="shared" ref="G322:G381" si="5">MAX(0,F322-E322)</f>
        <v>2</v>
      </c>
      <c r="H322" s="23">
        <v>45891</v>
      </c>
      <c r="I322" s="16" t="s">
        <v>228</v>
      </c>
      <c r="J322" s="6" t="s">
        <v>584</v>
      </c>
    </row>
    <row r="323" spans="1:10" ht="15" customHeight="1">
      <c r="A323" s="5" t="s">
        <v>911</v>
      </c>
      <c r="B323" s="16" t="s">
        <v>84</v>
      </c>
      <c r="C323" s="16" t="s">
        <v>160</v>
      </c>
      <c r="D323" s="16" t="s">
        <v>586</v>
      </c>
      <c r="E323" s="21">
        <v>1</v>
      </c>
      <c r="F323" s="21">
        <f>IFERROR(INDEX(competency_model!$F$2:$F$25,MATCH(C323,competency_model!$A$2:$A$25,0)),"")</f>
        <v>3</v>
      </c>
      <c r="G323" s="21">
        <f t="shared" si="5"/>
        <v>2</v>
      </c>
      <c r="H323" s="23">
        <v>45983</v>
      </c>
      <c r="I323" s="16" t="s">
        <v>228</v>
      </c>
      <c r="J323" s="6" t="s">
        <v>587</v>
      </c>
    </row>
    <row r="324" spans="1:10" ht="15" customHeight="1">
      <c r="A324" s="5" t="s">
        <v>912</v>
      </c>
      <c r="B324" s="16" t="s">
        <v>84</v>
      </c>
      <c r="C324" s="16" t="s">
        <v>160</v>
      </c>
      <c r="D324" s="16" t="s">
        <v>589</v>
      </c>
      <c r="E324" s="21">
        <v>2</v>
      </c>
      <c r="F324" s="21">
        <f>IFERROR(INDEX(competency_model!$F$2:$F$25,MATCH(C324,competency_model!$A$2:$A$25,0)),"")</f>
        <v>3</v>
      </c>
      <c r="G324" s="21">
        <f t="shared" si="5"/>
        <v>1</v>
      </c>
      <c r="H324" s="23">
        <v>46059</v>
      </c>
      <c r="I324" s="16" t="s">
        <v>225</v>
      </c>
      <c r="J324" s="6" t="s">
        <v>592</v>
      </c>
    </row>
    <row r="325" spans="1:10" ht="15" customHeight="1">
      <c r="A325" s="5" t="s">
        <v>913</v>
      </c>
      <c r="B325" s="16" t="s">
        <v>84</v>
      </c>
      <c r="C325" s="16" t="s">
        <v>160</v>
      </c>
      <c r="D325" s="16" t="s">
        <v>591</v>
      </c>
      <c r="E325" s="21">
        <v>2</v>
      </c>
      <c r="F325" s="21">
        <f>IFERROR(INDEX(competency_model!$F$2:$F$25,MATCH(C325,competency_model!$A$2:$A$25,0)),"")</f>
        <v>3</v>
      </c>
      <c r="G325" s="21">
        <f t="shared" si="5"/>
        <v>1</v>
      </c>
      <c r="H325" s="23">
        <v>46164</v>
      </c>
      <c r="I325" s="16" t="s">
        <v>225</v>
      </c>
      <c r="J325" s="6" t="s">
        <v>592</v>
      </c>
    </row>
    <row r="326" spans="1:10" ht="15" customHeight="1">
      <c r="A326" s="5" t="s">
        <v>914</v>
      </c>
      <c r="B326" s="16" t="s">
        <v>84</v>
      </c>
      <c r="C326" s="16" t="s">
        <v>183</v>
      </c>
      <c r="D326" s="16" t="s">
        <v>583</v>
      </c>
      <c r="E326" s="21">
        <v>1</v>
      </c>
      <c r="F326" s="21">
        <f>IFERROR(INDEX(competency_model!$F$2:$F$25,MATCH(C326,competency_model!$A$2:$A$25,0)),"")</f>
        <v>3</v>
      </c>
      <c r="G326" s="21">
        <f t="shared" si="5"/>
        <v>2</v>
      </c>
      <c r="H326" s="23">
        <v>45876</v>
      </c>
      <c r="I326" s="16" t="s">
        <v>228</v>
      </c>
      <c r="J326" s="6" t="s">
        <v>592</v>
      </c>
    </row>
    <row r="327" spans="1:10" ht="15" customHeight="1">
      <c r="A327" s="5" t="s">
        <v>915</v>
      </c>
      <c r="B327" s="16" t="s">
        <v>84</v>
      </c>
      <c r="C327" s="16" t="s">
        <v>183</v>
      </c>
      <c r="D327" s="16" t="s">
        <v>586</v>
      </c>
      <c r="E327" s="21">
        <v>2</v>
      </c>
      <c r="F327" s="21">
        <f>IFERROR(INDEX(competency_model!$F$2:$F$25,MATCH(C327,competency_model!$A$2:$A$25,0)),"")</f>
        <v>3</v>
      </c>
      <c r="G327" s="21">
        <f t="shared" si="5"/>
        <v>1</v>
      </c>
      <c r="H327" s="23">
        <v>45978</v>
      </c>
      <c r="I327" s="16" t="s">
        <v>228</v>
      </c>
      <c r="J327" s="6" t="s">
        <v>584</v>
      </c>
    </row>
    <row r="328" spans="1:10" ht="15" customHeight="1">
      <c r="A328" s="5" t="s">
        <v>916</v>
      </c>
      <c r="B328" s="16" t="s">
        <v>84</v>
      </c>
      <c r="C328" s="16" t="s">
        <v>183</v>
      </c>
      <c r="D328" s="16" t="s">
        <v>589</v>
      </c>
      <c r="E328" s="21">
        <v>3</v>
      </c>
      <c r="F328" s="21">
        <f>IFERROR(INDEX(competency_model!$F$2:$F$25,MATCH(C328,competency_model!$A$2:$A$25,0)),"")</f>
        <v>3</v>
      </c>
      <c r="G328" s="21">
        <f t="shared" si="5"/>
        <v>0</v>
      </c>
      <c r="H328" s="23">
        <v>46070</v>
      </c>
      <c r="I328" s="16" t="s">
        <v>228</v>
      </c>
      <c r="J328" s="6" t="s">
        <v>587</v>
      </c>
    </row>
    <row r="329" spans="1:10" ht="15" customHeight="1">
      <c r="A329" s="5" t="s">
        <v>917</v>
      </c>
      <c r="B329" s="16" t="s">
        <v>84</v>
      </c>
      <c r="C329" s="16" t="s">
        <v>183</v>
      </c>
      <c r="D329" s="16" t="s">
        <v>591</v>
      </c>
      <c r="E329" s="21">
        <v>4</v>
      </c>
      <c r="F329" s="21">
        <f>IFERROR(INDEX(competency_model!$F$2:$F$25,MATCH(C329,competency_model!$A$2:$A$25,0)),"")</f>
        <v>3</v>
      </c>
      <c r="G329" s="21">
        <f t="shared" si="5"/>
        <v>0</v>
      </c>
      <c r="H329" s="23">
        <v>46165</v>
      </c>
      <c r="I329" s="16" t="s">
        <v>222</v>
      </c>
      <c r="J329" s="6" t="s">
        <v>592</v>
      </c>
    </row>
    <row r="330" spans="1:10" ht="15" customHeight="1">
      <c r="A330" s="5" t="s">
        <v>918</v>
      </c>
      <c r="B330" s="16" t="s">
        <v>87</v>
      </c>
      <c r="C330" s="16" t="s">
        <v>154</v>
      </c>
      <c r="D330" s="16" t="s">
        <v>583</v>
      </c>
      <c r="E330" s="21">
        <v>1</v>
      </c>
      <c r="F330" s="21">
        <f>IFERROR(INDEX(competency_model!$F$2:$F$25,MATCH(C330,competency_model!$A$2:$A$25,0)),"")</f>
        <v>4</v>
      </c>
      <c r="G330" s="21">
        <f t="shared" si="5"/>
        <v>3</v>
      </c>
      <c r="H330" s="23">
        <v>45882</v>
      </c>
      <c r="I330" s="16" t="s">
        <v>225</v>
      </c>
      <c r="J330" s="6" t="s">
        <v>584</v>
      </c>
    </row>
    <row r="331" spans="1:10" ht="15" customHeight="1">
      <c r="A331" s="5" t="s">
        <v>919</v>
      </c>
      <c r="B331" s="16" t="s">
        <v>87</v>
      </c>
      <c r="C331" s="16" t="s">
        <v>154</v>
      </c>
      <c r="D331" s="16" t="s">
        <v>586</v>
      </c>
      <c r="E331" s="21">
        <v>1</v>
      </c>
      <c r="F331" s="21">
        <f>IFERROR(INDEX(competency_model!$F$2:$F$25,MATCH(C331,competency_model!$A$2:$A$25,0)),"")</f>
        <v>4</v>
      </c>
      <c r="G331" s="21">
        <f t="shared" si="5"/>
        <v>3</v>
      </c>
      <c r="H331" s="23">
        <v>45964</v>
      </c>
      <c r="I331" s="16" t="s">
        <v>228</v>
      </c>
      <c r="J331" s="6" t="s">
        <v>584</v>
      </c>
    </row>
    <row r="332" spans="1:10" ht="15" customHeight="1">
      <c r="A332" s="5" t="s">
        <v>920</v>
      </c>
      <c r="B332" s="16" t="s">
        <v>87</v>
      </c>
      <c r="C332" s="16" t="s">
        <v>154</v>
      </c>
      <c r="D332" s="16" t="s">
        <v>589</v>
      </c>
      <c r="E332" s="21">
        <v>2</v>
      </c>
      <c r="F332" s="21">
        <f>IFERROR(INDEX(competency_model!$F$2:$F$25,MATCH(C332,competency_model!$A$2:$A$25,0)),"")</f>
        <v>4</v>
      </c>
      <c r="G332" s="21">
        <f t="shared" si="5"/>
        <v>2</v>
      </c>
      <c r="H332" s="23">
        <v>46065</v>
      </c>
      <c r="I332" s="16" t="s">
        <v>228</v>
      </c>
      <c r="J332" s="6" t="s">
        <v>587</v>
      </c>
    </row>
    <row r="333" spans="1:10" ht="15" customHeight="1">
      <c r="A333" s="5" t="s">
        <v>921</v>
      </c>
      <c r="B333" s="16" t="s">
        <v>87</v>
      </c>
      <c r="C333" s="16" t="s">
        <v>154</v>
      </c>
      <c r="D333" s="16" t="s">
        <v>591</v>
      </c>
      <c r="E333" s="21">
        <v>3</v>
      </c>
      <c r="F333" s="21">
        <f>IFERROR(INDEX(competency_model!$F$2:$F$25,MATCH(C333,competency_model!$A$2:$A$25,0)),"")</f>
        <v>4</v>
      </c>
      <c r="G333" s="21">
        <f t="shared" si="5"/>
        <v>1</v>
      </c>
      <c r="H333" s="23">
        <v>46162</v>
      </c>
      <c r="I333" s="16" t="s">
        <v>225</v>
      </c>
      <c r="J333" s="6" t="s">
        <v>596</v>
      </c>
    </row>
    <row r="334" spans="1:10" ht="15" customHeight="1">
      <c r="A334" s="5" t="s">
        <v>922</v>
      </c>
      <c r="B334" s="16" t="s">
        <v>87</v>
      </c>
      <c r="C334" s="16" t="s">
        <v>175</v>
      </c>
      <c r="D334" s="16" t="s">
        <v>583</v>
      </c>
      <c r="E334" s="21">
        <v>1</v>
      </c>
      <c r="F334" s="21">
        <f>IFERROR(INDEX(competency_model!$F$2:$F$25,MATCH(C334,competency_model!$A$2:$A$25,0)),"")</f>
        <v>4</v>
      </c>
      <c r="G334" s="21">
        <f t="shared" si="5"/>
        <v>3</v>
      </c>
      <c r="H334" s="23">
        <v>45874</v>
      </c>
      <c r="I334" s="16" t="s">
        <v>228</v>
      </c>
      <c r="J334" s="6" t="s">
        <v>587</v>
      </c>
    </row>
    <row r="335" spans="1:10" ht="15" customHeight="1">
      <c r="A335" s="5" t="s">
        <v>923</v>
      </c>
      <c r="B335" s="16" t="s">
        <v>87</v>
      </c>
      <c r="C335" s="16" t="s">
        <v>175</v>
      </c>
      <c r="D335" s="16" t="s">
        <v>586</v>
      </c>
      <c r="E335" s="21">
        <v>2</v>
      </c>
      <c r="F335" s="21">
        <f>IFERROR(INDEX(competency_model!$F$2:$F$25,MATCH(C335,competency_model!$A$2:$A$25,0)),"")</f>
        <v>4</v>
      </c>
      <c r="G335" s="21">
        <f t="shared" si="5"/>
        <v>2</v>
      </c>
      <c r="H335" s="23">
        <v>45970</v>
      </c>
      <c r="I335" s="16" t="s">
        <v>228</v>
      </c>
      <c r="J335" s="6" t="s">
        <v>587</v>
      </c>
    </row>
    <row r="336" spans="1:10" ht="15" customHeight="1">
      <c r="A336" s="5" t="s">
        <v>924</v>
      </c>
      <c r="B336" s="16" t="s">
        <v>87</v>
      </c>
      <c r="C336" s="16" t="s">
        <v>175</v>
      </c>
      <c r="D336" s="16" t="s">
        <v>589</v>
      </c>
      <c r="E336" s="21">
        <v>3</v>
      </c>
      <c r="F336" s="21">
        <f>IFERROR(INDEX(competency_model!$F$2:$F$25,MATCH(C336,competency_model!$A$2:$A$25,0)),"")</f>
        <v>4</v>
      </c>
      <c r="G336" s="21">
        <f t="shared" si="5"/>
        <v>1</v>
      </c>
      <c r="H336" s="23">
        <v>46059</v>
      </c>
      <c r="I336" s="16" t="s">
        <v>225</v>
      </c>
      <c r="J336" s="6" t="s">
        <v>587</v>
      </c>
    </row>
    <row r="337" spans="1:10" ht="15" customHeight="1">
      <c r="A337" s="5" t="s">
        <v>925</v>
      </c>
      <c r="B337" s="16" t="s">
        <v>87</v>
      </c>
      <c r="C337" s="16" t="s">
        <v>175</v>
      </c>
      <c r="D337" s="16" t="s">
        <v>591</v>
      </c>
      <c r="E337" s="21">
        <v>4</v>
      </c>
      <c r="F337" s="21">
        <f>IFERROR(INDEX(competency_model!$F$2:$F$25,MATCH(C337,competency_model!$A$2:$A$25,0)),"")</f>
        <v>4</v>
      </c>
      <c r="G337" s="21">
        <f t="shared" si="5"/>
        <v>0</v>
      </c>
      <c r="H337" s="23">
        <v>46160</v>
      </c>
      <c r="I337" s="16" t="s">
        <v>225</v>
      </c>
      <c r="J337" s="6" t="s">
        <v>596</v>
      </c>
    </row>
    <row r="338" spans="1:10" ht="15" customHeight="1">
      <c r="A338" s="5" t="s">
        <v>926</v>
      </c>
      <c r="B338" s="16" t="s">
        <v>87</v>
      </c>
      <c r="C338" s="16" t="s">
        <v>192</v>
      </c>
      <c r="D338" s="16" t="s">
        <v>583</v>
      </c>
      <c r="E338" s="21">
        <v>1</v>
      </c>
      <c r="F338" s="21">
        <f>IFERROR(INDEX(competency_model!$F$2:$F$25,MATCH(C338,competency_model!$A$2:$A$25,0)),"")</f>
        <v>4</v>
      </c>
      <c r="G338" s="21">
        <f t="shared" si="5"/>
        <v>3</v>
      </c>
      <c r="H338" s="23">
        <v>45874</v>
      </c>
      <c r="I338" s="16" t="s">
        <v>222</v>
      </c>
      <c r="J338" s="6" t="s">
        <v>596</v>
      </c>
    </row>
    <row r="339" spans="1:10" ht="15" customHeight="1">
      <c r="A339" s="5" t="s">
        <v>927</v>
      </c>
      <c r="B339" s="16" t="s">
        <v>87</v>
      </c>
      <c r="C339" s="16" t="s">
        <v>192</v>
      </c>
      <c r="D339" s="16" t="s">
        <v>586</v>
      </c>
      <c r="E339" s="21">
        <v>2</v>
      </c>
      <c r="F339" s="21">
        <f>IFERROR(INDEX(competency_model!$F$2:$F$25,MATCH(C339,competency_model!$A$2:$A$25,0)),"")</f>
        <v>4</v>
      </c>
      <c r="G339" s="21">
        <f t="shared" si="5"/>
        <v>2</v>
      </c>
      <c r="H339" s="23">
        <v>45984</v>
      </c>
      <c r="I339" s="16" t="s">
        <v>228</v>
      </c>
      <c r="J339" s="6" t="s">
        <v>596</v>
      </c>
    </row>
    <row r="340" spans="1:10" ht="15" customHeight="1">
      <c r="A340" s="5" t="s">
        <v>928</v>
      </c>
      <c r="B340" s="16" t="s">
        <v>87</v>
      </c>
      <c r="C340" s="16" t="s">
        <v>192</v>
      </c>
      <c r="D340" s="16" t="s">
        <v>589</v>
      </c>
      <c r="E340" s="21">
        <v>3</v>
      </c>
      <c r="F340" s="21">
        <f>IFERROR(INDEX(competency_model!$F$2:$F$25,MATCH(C340,competency_model!$A$2:$A$25,0)),"")</f>
        <v>4</v>
      </c>
      <c r="G340" s="21">
        <f t="shared" si="5"/>
        <v>1</v>
      </c>
      <c r="H340" s="23">
        <v>46080</v>
      </c>
      <c r="I340" s="16" t="s">
        <v>228</v>
      </c>
      <c r="J340" s="6" t="s">
        <v>584</v>
      </c>
    </row>
    <row r="341" spans="1:10" ht="15" customHeight="1">
      <c r="A341" s="5" t="s">
        <v>929</v>
      </c>
      <c r="B341" s="16" t="s">
        <v>87</v>
      </c>
      <c r="C341" s="16" t="s">
        <v>192</v>
      </c>
      <c r="D341" s="16" t="s">
        <v>591</v>
      </c>
      <c r="E341" s="21">
        <v>4</v>
      </c>
      <c r="F341" s="21">
        <f>IFERROR(INDEX(competency_model!$F$2:$F$25,MATCH(C341,competency_model!$A$2:$A$25,0)),"")</f>
        <v>4</v>
      </c>
      <c r="G341" s="21">
        <f t="shared" si="5"/>
        <v>0</v>
      </c>
      <c r="H341" s="23">
        <v>46155</v>
      </c>
      <c r="I341" s="16" t="s">
        <v>228</v>
      </c>
      <c r="J341" s="6" t="s">
        <v>596</v>
      </c>
    </row>
    <row r="342" spans="1:10" ht="15" customHeight="1">
      <c r="A342" s="5" t="s">
        <v>930</v>
      </c>
      <c r="B342" s="16" t="s">
        <v>87</v>
      </c>
      <c r="C342" s="16" t="s">
        <v>160</v>
      </c>
      <c r="D342" s="16" t="s">
        <v>583</v>
      </c>
      <c r="E342" s="21">
        <v>3</v>
      </c>
      <c r="F342" s="21">
        <f>IFERROR(INDEX(competency_model!$F$2:$F$25,MATCH(C342,competency_model!$A$2:$A$25,0)),"")</f>
        <v>3</v>
      </c>
      <c r="G342" s="21">
        <f t="shared" si="5"/>
        <v>0</v>
      </c>
      <c r="H342" s="23">
        <v>45893</v>
      </c>
      <c r="I342" s="16" t="s">
        <v>222</v>
      </c>
      <c r="J342" s="6" t="s">
        <v>592</v>
      </c>
    </row>
    <row r="343" spans="1:10" ht="15" customHeight="1">
      <c r="A343" s="5" t="s">
        <v>931</v>
      </c>
      <c r="B343" s="16" t="s">
        <v>87</v>
      </c>
      <c r="C343" s="16" t="s">
        <v>160</v>
      </c>
      <c r="D343" s="16" t="s">
        <v>586</v>
      </c>
      <c r="E343" s="21">
        <v>3</v>
      </c>
      <c r="F343" s="21">
        <f>IFERROR(INDEX(competency_model!$F$2:$F$25,MATCH(C343,competency_model!$A$2:$A$25,0)),"")</f>
        <v>3</v>
      </c>
      <c r="G343" s="21">
        <f t="shared" si="5"/>
        <v>0</v>
      </c>
      <c r="H343" s="23">
        <v>45974</v>
      </c>
      <c r="I343" s="16" t="s">
        <v>222</v>
      </c>
      <c r="J343" s="6" t="s">
        <v>584</v>
      </c>
    </row>
    <row r="344" spans="1:10" ht="15" customHeight="1">
      <c r="A344" s="5" t="s">
        <v>932</v>
      </c>
      <c r="B344" s="16" t="s">
        <v>87</v>
      </c>
      <c r="C344" s="16" t="s">
        <v>160</v>
      </c>
      <c r="D344" s="16" t="s">
        <v>589</v>
      </c>
      <c r="E344" s="21">
        <v>4</v>
      </c>
      <c r="F344" s="21">
        <f>IFERROR(INDEX(competency_model!$F$2:$F$25,MATCH(C344,competency_model!$A$2:$A$25,0)),"")</f>
        <v>3</v>
      </c>
      <c r="G344" s="21">
        <f t="shared" si="5"/>
        <v>0</v>
      </c>
      <c r="H344" s="23">
        <v>46060</v>
      </c>
      <c r="I344" s="16" t="s">
        <v>222</v>
      </c>
      <c r="J344" s="6" t="s">
        <v>587</v>
      </c>
    </row>
    <row r="345" spans="1:10" ht="15" customHeight="1">
      <c r="A345" s="5" t="s">
        <v>933</v>
      </c>
      <c r="B345" s="16" t="s">
        <v>87</v>
      </c>
      <c r="C345" s="16" t="s">
        <v>160</v>
      </c>
      <c r="D345" s="16" t="s">
        <v>591</v>
      </c>
      <c r="E345" s="21">
        <v>5</v>
      </c>
      <c r="F345" s="21">
        <f>IFERROR(INDEX(competency_model!$F$2:$F$25,MATCH(C345,competency_model!$A$2:$A$25,0)),"")</f>
        <v>3</v>
      </c>
      <c r="G345" s="21">
        <f t="shared" si="5"/>
        <v>0</v>
      </c>
      <c r="H345" s="23">
        <v>46159</v>
      </c>
      <c r="I345" s="16" t="s">
        <v>222</v>
      </c>
      <c r="J345" s="6" t="s">
        <v>596</v>
      </c>
    </row>
    <row r="346" spans="1:10" ht="15" customHeight="1">
      <c r="A346" s="5" t="s">
        <v>934</v>
      </c>
      <c r="B346" s="16" t="s">
        <v>87</v>
      </c>
      <c r="C346" s="16" t="s">
        <v>171</v>
      </c>
      <c r="D346" s="16" t="s">
        <v>583</v>
      </c>
      <c r="E346" s="21">
        <v>1</v>
      </c>
      <c r="F346" s="21">
        <f>IFERROR(INDEX(competency_model!$F$2:$F$25,MATCH(C346,competency_model!$A$2:$A$25,0)),"")</f>
        <v>4</v>
      </c>
      <c r="G346" s="21">
        <f t="shared" si="5"/>
        <v>3</v>
      </c>
      <c r="H346" s="23">
        <v>45892</v>
      </c>
      <c r="I346" s="16" t="s">
        <v>222</v>
      </c>
      <c r="J346" s="6" t="s">
        <v>592</v>
      </c>
    </row>
    <row r="347" spans="1:10" ht="15" customHeight="1">
      <c r="A347" s="5" t="s">
        <v>935</v>
      </c>
      <c r="B347" s="16" t="s">
        <v>87</v>
      </c>
      <c r="C347" s="16" t="s">
        <v>171</v>
      </c>
      <c r="D347" s="16" t="s">
        <v>586</v>
      </c>
      <c r="E347" s="21">
        <v>1</v>
      </c>
      <c r="F347" s="21">
        <f>IFERROR(INDEX(competency_model!$F$2:$F$25,MATCH(C347,competency_model!$A$2:$A$25,0)),"")</f>
        <v>4</v>
      </c>
      <c r="G347" s="21">
        <f t="shared" si="5"/>
        <v>3</v>
      </c>
      <c r="H347" s="23">
        <v>45983</v>
      </c>
      <c r="I347" s="16" t="s">
        <v>228</v>
      </c>
      <c r="J347" s="6" t="s">
        <v>587</v>
      </c>
    </row>
    <row r="348" spans="1:10" ht="15" customHeight="1">
      <c r="A348" s="5" t="s">
        <v>936</v>
      </c>
      <c r="B348" s="16" t="s">
        <v>87</v>
      </c>
      <c r="C348" s="16" t="s">
        <v>171</v>
      </c>
      <c r="D348" s="16" t="s">
        <v>589</v>
      </c>
      <c r="E348" s="21">
        <v>2</v>
      </c>
      <c r="F348" s="21">
        <f>IFERROR(INDEX(competency_model!$F$2:$F$25,MATCH(C348,competency_model!$A$2:$A$25,0)),"")</f>
        <v>4</v>
      </c>
      <c r="G348" s="21">
        <f t="shared" si="5"/>
        <v>2</v>
      </c>
      <c r="H348" s="23">
        <v>46058</v>
      </c>
      <c r="I348" s="16" t="s">
        <v>228</v>
      </c>
      <c r="J348" s="6" t="s">
        <v>584</v>
      </c>
    </row>
    <row r="349" spans="1:10" ht="15" customHeight="1">
      <c r="A349" s="5" t="s">
        <v>937</v>
      </c>
      <c r="B349" s="16" t="s">
        <v>87</v>
      </c>
      <c r="C349" s="16" t="s">
        <v>171</v>
      </c>
      <c r="D349" s="16" t="s">
        <v>591</v>
      </c>
      <c r="E349" s="21">
        <v>2</v>
      </c>
      <c r="F349" s="21">
        <f>IFERROR(INDEX(competency_model!$F$2:$F$25,MATCH(C349,competency_model!$A$2:$A$25,0)),"")</f>
        <v>4</v>
      </c>
      <c r="G349" s="21">
        <f t="shared" si="5"/>
        <v>2</v>
      </c>
      <c r="H349" s="23">
        <v>46169</v>
      </c>
      <c r="I349" s="16" t="s">
        <v>225</v>
      </c>
      <c r="J349" s="6" t="s">
        <v>596</v>
      </c>
    </row>
    <row r="350" spans="1:10" ht="15" customHeight="1">
      <c r="A350" s="5" t="s">
        <v>938</v>
      </c>
      <c r="B350" s="16" t="s">
        <v>87</v>
      </c>
      <c r="C350" s="16" t="s">
        <v>178</v>
      </c>
      <c r="D350" s="16" t="s">
        <v>583</v>
      </c>
      <c r="E350" s="21">
        <v>1</v>
      </c>
      <c r="F350" s="21">
        <f>IFERROR(INDEX(competency_model!$F$2:$F$25,MATCH(C350,competency_model!$A$2:$A$25,0)),"")</f>
        <v>3</v>
      </c>
      <c r="G350" s="21">
        <f t="shared" si="5"/>
        <v>2</v>
      </c>
      <c r="H350" s="23">
        <v>45883</v>
      </c>
      <c r="I350" s="16" t="s">
        <v>225</v>
      </c>
      <c r="J350" s="6" t="s">
        <v>584</v>
      </c>
    </row>
    <row r="351" spans="1:10" ht="15" customHeight="1">
      <c r="A351" s="5" t="s">
        <v>939</v>
      </c>
      <c r="B351" s="16" t="s">
        <v>87</v>
      </c>
      <c r="C351" s="16" t="s">
        <v>178</v>
      </c>
      <c r="D351" s="16" t="s">
        <v>586</v>
      </c>
      <c r="E351" s="21">
        <v>1</v>
      </c>
      <c r="F351" s="21">
        <f>IFERROR(INDEX(competency_model!$F$2:$F$25,MATCH(C351,competency_model!$A$2:$A$25,0)),"")</f>
        <v>3</v>
      </c>
      <c r="G351" s="21">
        <f t="shared" si="5"/>
        <v>2</v>
      </c>
      <c r="H351" s="23">
        <v>45973</v>
      </c>
      <c r="I351" s="16" t="s">
        <v>222</v>
      </c>
      <c r="J351" s="6" t="s">
        <v>596</v>
      </c>
    </row>
    <row r="352" spans="1:10" ht="15" customHeight="1">
      <c r="A352" s="5" t="s">
        <v>940</v>
      </c>
      <c r="B352" s="16" t="s">
        <v>87</v>
      </c>
      <c r="C352" s="16" t="s">
        <v>178</v>
      </c>
      <c r="D352" s="16" t="s">
        <v>589</v>
      </c>
      <c r="E352" s="21">
        <v>3</v>
      </c>
      <c r="F352" s="21">
        <f>IFERROR(INDEX(competency_model!$F$2:$F$25,MATCH(C352,competency_model!$A$2:$A$25,0)),"")</f>
        <v>3</v>
      </c>
      <c r="G352" s="21">
        <f t="shared" si="5"/>
        <v>0</v>
      </c>
      <c r="H352" s="23">
        <v>46056</v>
      </c>
      <c r="I352" s="16" t="s">
        <v>228</v>
      </c>
      <c r="J352" s="6" t="s">
        <v>596</v>
      </c>
    </row>
    <row r="353" spans="1:10" ht="15" customHeight="1">
      <c r="A353" s="5" t="s">
        <v>941</v>
      </c>
      <c r="B353" s="16" t="s">
        <v>87</v>
      </c>
      <c r="C353" s="16" t="s">
        <v>178</v>
      </c>
      <c r="D353" s="16" t="s">
        <v>591</v>
      </c>
      <c r="E353" s="21">
        <v>4</v>
      </c>
      <c r="F353" s="21">
        <f>IFERROR(INDEX(competency_model!$F$2:$F$25,MATCH(C353,competency_model!$A$2:$A$25,0)),"")</f>
        <v>3</v>
      </c>
      <c r="G353" s="21">
        <f t="shared" si="5"/>
        <v>0</v>
      </c>
      <c r="H353" s="23">
        <v>46162</v>
      </c>
      <c r="I353" s="16" t="s">
        <v>228</v>
      </c>
      <c r="J353" s="6" t="s">
        <v>587</v>
      </c>
    </row>
    <row r="354" spans="1:10" ht="15" customHeight="1">
      <c r="A354" s="5" t="s">
        <v>942</v>
      </c>
      <c r="B354" s="16" t="s">
        <v>87</v>
      </c>
      <c r="C354" s="16" t="s">
        <v>189</v>
      </c>
      <c r="D354" s="16" t="s">
        <v>583</v>
      </c>
      <c r="E354" s="21">
        <v>3</v>
      </c>
      <c r="F354" s="21">
        <f>IFERROR(INDEX(competency_model!$F$2:$F$25,MATCH(C354,competency_model!$A$2:$A$25,0)),"")</f>
        <v>4</v>
      </c>
      <c r="G354" s="21">
        <f t="shared" si="5"/>
        <v>1</v>
      </c>
      <c r="H354" s="23">
        <v>45872</v>
      </c>
      <c r="I354" s="16" t="s">
        <v>228</v>
      </c>
      <c r="J354" s="6" t="s">
        <v>587</v>
      </c>
    </row>
    <row r="355" spans="1:10" ht="15" customHeight="1">
      <c r="A355" s="5" t="s">
        <v>943</v>
      </c>
      <c r="B355" s="16" t="s">
        <v>87</v>
      </c>
      <c r="C355" s="16" t="s">
        <v>189</v>
      </c>
      <c r="D355" s="16" t="s">
        <v>586</v>
      </c>
      <c r="E355" s="21">
        <v>4</v>
      </c>
      <c r="F355" s="21">
        <f>IFERROR(INDEX(competency_model!$F$2:$F$25,MATCH(C355,competency_model!$A$2:$A$25,0)),"")</f>
        <v>4</v>
      </c>
      <c r="G355" s="21">
        <f t="shared" si="5"/>
        <v>0</v>
      </c>
      <c r="H355" s="23">
        <v>45970</v>
      </c>
      <c r="I355" s="16" t="s">
        <v>228</v>
      </c>
      <c r="J355" s="6" t="s">
        <v>587</v>
      </c>
    </row>
    <row r="356" spans="1:10" ht="15" customHeight="1">
      <c r="A356" s="5" t="s">
        <v>944</v>
      </c>
      <c r="B356" s="16" t="s">
        <v>87</v>
      </c>
      <c r="C356" s="16" t="s">
        <v>189</v>
      </c>
      <c r="D356" s="16" t="s">
        <v>589</v>
      </c>
      <c r="E356" s="21">
        <v>4</v>
      </c>
      <c r="F356" s="21">
        <f>IFERROR(INDEX(competency_model!$F$2:$F$25,MATCH(C356,competency_model!$A$2:$A$25,0)),"")</f>
        <v>4</v>
      </c>
      <c r="G356" s="21">
        <f t="shared" si="5"/>
        <v>0</v>
      </c>
      <c r="H356" s="23">
        <v>46078</v>
      </c>
      <c r="I356" s="16" t="s">
        <v>225</v>
      </c>
      <c r="J356" s="6" t="s">
        <v>592</v>
      </c>
    </row>
    <row r="357" spans="1:10" ht="15" customHeight="1">
      <c r="A357" s="5" t="s">
        <v>945</v>
      </c>
      <c r="B357" s="16" t="s">
        <v>87</v>
      </c>
      <c r="C357" s="16" t="s">
        <v>189</v>
      </c>
      <c r="D357" s="16" t="s">
        <v>591</v>
      </c>
      <c r="E357" s="21">
        <v>5</v>
      </c>
      <c r="F357" s="21">
        <f>IFERROR(INDEX(competency_model!$F$2:$F$25,MATCH(C357,competency_model!$A$2:$A$25,0)),"")</f>
        <v>4</v>
      </c>
      <c r="G357" s="21">
        <f t="shared" si="5"/>
        <v>0</v>
      </c>
      <c r="H357" s="23">
        <v>46164</v>
      </c>
      <c r="I357" s="16" t="s">
        <v>222</v>
      </c>
      <c r="J357" s="6" t="s">
        <v>596</v>
      </c>
    </row>
    <row r="358" spans="1:10" ht="15" customHeight="1">
      <c r="A358" s="5" t="s">
        <v>946</v>
      </c>
      <c r="B358" s="16" t="s">
        <v>87</v>
      </c>
      <c r="C358" s="16" t="s">
        <v>197</v>
      </c>
      <c r="D358" s="16" t="s">
        <v>583</v>
      </c>
      <c r="E358" s="21">
        <v>1</v>
      </c>
      <c r="F358" s="21">
        <f>IFERROR(INDEX(competency_model!$F$2:$F$25,MATCH(C358,competency_model!$A$2:$A$25,0)),"")</f>
        <v>3</v>
      </c>
      <c r="G358" s="21">
        <f t="shared" si="5"/>
        <v>2</v>
      </c>
      <c r="H358" s="23">
        <v>45880</v>
      </c>
      <c r="I358" s="16" t="s">
        <v>228</v>
      </c>
      <c r="J358" s="6" t="s">
        <v>592</v>
      </c>
    </row>
    <row r="359" spans="1:10" ht="15" customHeight="1">
      <c r="A359" s="5" t="s">
        <v>947</v>
      </c>
      <c r="B359" s="16" t="s">
        <v>87</v>
      </c>
      <c r="C359" s="16" t="s">
        <v>197</v>
      </c>
      <c r="D359" s="16" t="s">
        <v>586</v>
      </c>
      <c r="E359" s="21">
        <v>2</v>
      </c>
      <c r="F359" s="21">
        <f>IFERROR(INDEX(competency_model!$F$2:$F$25,MATCH(C359,competency_model!$A$2:$A$25,0)),"")</f>
        <v>3</v>
      </c>
      <c r="G359" s="21">
        <f t="shared" si="5"/>
        <v>1</v>
      </c>
      <c r="H359" s="23">
        <v>45988</v>
      </c>
      <c r="I359" s="16" t="s">
        <v>222</v>
      </c>
      <c r="J359" s="6" t="s">
        <v>596</v>
      </c>
    </row>
    <row r="360" spans="1:10" ht="15" customHeight="1">
      <c r="A360" s="5" t="s">
        <v>948</v>
      </c>
      <c r="B360" s="16" t="s">
        <v>87</v>
      </c>
      <c r="C360" s="16" t="s">
        <v>197</v>
      </c>
      <c r="D360" s="16" t="s">
        <v>589</v>
      </c>
      <c r="E360" s="21">
        <v>3</v>
      </c>
      <c r="F360" s="21">
        <f>IFERROR(INDEX(competency_model!$F$2:$F$25,MATCH(C360,competency_model!$A$2:$A$25,0)),"")</f>
        <v>3</v>
      </c>
      <c r="G360" s="21">
        <f t="shared" si="5"/>
        <v>0</v>
      </c>
      <c r="H360" s="23">
        <v>46058</v>
      </c>
      <c r="I360" s="16" t="s">
        <v>228</v>
      </c>
      <c r="J360" s="6" t="s">
        <v>596</v>
      </c>
    </row>
    <row r="361" spans="1:10" ht="15" customHeight="1">
      <c r="A361" s="5" t="s">
        <v>949</v>
      </c>
      <c r="B361" s="16" t="s">
        <v>87</v>
      </c>
      <c r="C361" s="16" t="s">
        <v>197</v>
      </c>
      <c r="D361" s="16" t="s">
        <v>591</v>
      </c>
      <c r="E361" s="21">
        <v>4</v>
      </c>
      <c r="F361" s="21">
        <f>IFERROR(INDEX(competency_model!$F$2:$F$25,MATCH(C361,competency_model!$A$2:$A$25,0)),"")</f>
        <v>3</v>
      </c>
      <c r="G361" s="21">
        <f t="shared" si="5"/>
        <v>0</v>
      </c>
      <c r="H361" s="23">
        <v>46148</v>
      </c>
      <c r="I361" s="16" t="s">
        <v>228</v>
      </c>
      <c r="J361" s="6" t="s">
        <v>587</v>
      </c>
    </row>
    <row r="362" spans="1:10" ht="15" customHeight="1">
      <c r="A362" s="5" t="s">
        <v>950</v>
      </c>
      <c r="B362" s="16" t="s">
        <v>89</v>
      </c>
      <c r="C362" s="16" t="s">
        <v>175</v>
      </c>
      <c r="D362" s="16" t="s">
        <v>583</v>
      </c>
      <c r="E362" s="21">
        <v>2</v>
      </c>
      <c r="F362" s="21">
        <f>IFERROR(INDEX(competency_model!$F$2:$F$25,MATCH(C362,competency_model!$A$2:$A$25,0)),"")</f>
        <v>4</v>
      </c>
      <c r="G362" s="21">
        <f t="shared" si="5"/>
        <v>2</v>
      </c>
      <c r="H362" s="23">
        <v>45887</v>
      </c>
      <c r="I362" s="16" t="s">
        <v>228</v>
      </c>
      <c r="J362" s="6" t="s">
        <v>584</v>
      </c>
    </row>
    <row r="363" spans="1:10" ht="15" customHeight="1">
      <c r="A363" s="5" t="s">
        <v>951</v>
      </c>
      <c r="B363" s="16" t="s">
        <v>89</v>
      </c>
      <c r="C363" s="16" t="s">
        <v>175</v>
      </c>
      <c r="D363" s="16" t="s">
        <v>586</v>
      </c>
      <c r="E363" s="21">
        <v>4</v>
      </c>
      <c r="F363" s="21">
        <f>IFERROR(INDEX(competency_model!$F$2:$F$25,MATCH(C363,competency_model!$A$2:$A$25,0)),"")</f>
        <v>4</v>
      </c>
      <c r="G363" s="21">
        <f t="shared" si="5"/>
        <v>0</v>
      </c>
      <c r="H363" s="23">
        <v>45971</v>
      </c>
      <c r="I363" s="16" t="s">
        <v>228</v>
      </c>
      <c r="J363" s="6" t="s">
        <v>587</v>
      </c>
    </row>
    <row r="364" spans="1:10" ht="15" customHeight="1">
      <c r="A364" s="5" t="s">
        <v>952</v>
      </c>
      <c r="B364" s="16" t="s">
        <v>89</v>
      </c>
      <c r="C364" s="16" t="s">
        <v>175</v>
      </c>
      <c r="D364" s="16" t="s">
        <v>589</v>
      </c>
      <c r="E364" s="21">
        <v>5</v>
      </c>
      <c r="F364" s="21">
        <f>IFERROR(INDEX(competency_model!$F$2:$F$25,MATCH(C364,competency_model!$A$2:$A$25,0)),"")</f>
        <v>4</v>
      </c>
      <c r="G364" s="21">
        <f t="shared" si="5"/>
        <v>0</v>
      </c>
      <c r="H364" s="23">
        <v>46066</v>
      </c>
      <c r="I364" s="16" t="s">
        <v>225</v>
      </c>
      <c r="J364" s="6" t="s">
        <v>592</v>
      </c>
    </row>
    <row r="365" spans="1:10" ht="15" customHeight="1">
      <c r="A365" s="5" t="s">
        <v>953</v>
      </c>
      <c r="B365" s="16" t="s">
        <v>89</v>
      </c>
      <c r="C365" s="16" t="s">
        <v>175</v>
      </c>
      <c r="D365" s="16" t="s">
        <v>591</v>
      </c>
      <c r="E365" s="21">
        <v>5</v>
      </c>
      <c r="F365" s="21">
        <f>IFERROR(INDEX(competency_model!$F$2:$F$25,MATCH(C365,competency_model!$A$2:$A$25,0)),"")</f>
        <v>4</v>
      </c>
      <c r="G365" s="21">
        <f t="shared" si="5"/>
        <v>0</v>
      </c>
      <c r="H365" s="23">
        <v>46153</v>
      </c>
      <c r="I365" s="16" t="s">
        <v>225</v>
      </c>
      <c r="J365" s="6" t="s">
        <v>596</v>
      </c>
    </row>
    <row r="366" spans="1:10" ht="15" customHeight="1">
      <c r="A366" s="5" t="s">
        <v>954</v>
      </c>
      <c r="B366" s="16" t="s">
        <v>89</v>
      </c>
      <c r="C366" s="16" t="s">
        <v>154</v>
      </c>
      <c r="D366" s="16" t="s">
        <v>583</v>
      </c>
      <c r="E366" s="21">
        <v>2</v>
      </c>
      <c r="F366" s="21">
        <f>IFERROR(INDEX(competency_model!$F$2:$F$25,MATCH(C366,competency_model!$A$2:$A$25,0)),"")</f>
        <v>4</v>
      </c>
      <c r="G366" s="21">
        <f t="shared" si="5"/>
        <v>2</v>
      </c>
      <c r="H366" s="23">
        <v>45880</v>
      </c>
      <c r="I366" s="16" t="s">
        <v>228</v>
      </c>
      <c r="J366" s="6" t="s">
        <v>584</v>
      </c>
    </row>
    <row r="367" spans="1:10" ht="15" customHeight="1">
      <c r="A367" s="5" t="s">
        <v>955</v>
      </c>
      <c r="B367" s="16" t="s">
        <v>89</v>
      </c>
      <c r="C367" s="16" t="s">
        <v>154</v>
      </c>
      <c r="D367" s="16" t="s">
        <v>586</v>
      </c>
      <c r="E367" s="21">
        <v>3</v>
      </c>
      <c r="F367" s="21">
        <f>IFERROR(INDEX(competency_model!$F$2:$F$25,MATCH(C367,competency_model!$A$2:$A$25,0)),"")</f>
        <v>4</v>
      </c>
      <c r="G367" s="21">
        <f t="shared" si="5"/>
        <v>1</v>
      </c>
      <c r="H367" s="23">
        <v>45987</v>
      </c>
      <c r="I367" s="16" t="s">
        <v>222</v>
      </c>
      <c r="J367" s="6" t="s">
        <v>592</v>
      </c>
    </row>
    <row r="368" spans="1:10" ht="15" customHeight="1">
      <c r="A368" s="5" t="s">
        <v>956</v>
      </c>
      <c r="B368" s="16" t="s">
        <v>89</v>
      </c>
      <c r="C368" s="16" t="s">
        <v>154</v>
      </c>
      <c r="D368" s="16" t="s">
        <v>589</v>
      </c>
      <c r="E368" s="21">
        <v>4</v>
      </c>
      <c r="F368" s="21">
        <f>IFERROR(INDEX(competency_model!$F$2:$F$25,MATCH(C368,competency_model!$A$2:$A$25,0)),"")</f>
        <v>4</v>
      </c>
      <c r="G368" s="21">
        <f t="shared" si="5"/>
        <v>0</v>
      </c>
      <c r="H368" s="23">
        <v>46073</v>
      </c>
      <c r="I368" s="16" t="s">
        <v>228</v>
      </c>
      <c r="J368" s="6" t="s">
        <v>596</v>
      </c>
    </row>
    <row r="369" spans="1:10" ht="15" customHeight="1">
      <c r="A369" s="5" t="s">
        <v>957</v>
      </c>
      <c r="B369" s="16" t="s">
        <v>89</v>
      </c>
      <c r="C369" s="16" t="s">
        <v>154</v>
      </c>
      <c r="D369" s="16" t="s">
        <v>591</v>
      </c>
      <c r="E369" s="21">
        <v>5</v>
      </c>
      <c r="F369" s="21">
        <f>IFERROR(INDEX(competency_model!$F$2:$F$25,MATCH(C369,competency_model!$A$2:$A$25,0)),"")</f>
        <v>4</v>
      </c>
      <c r="G369" s="21">
        <f t="shared" si="5"/>
        <v>0</v>
      </c>
      <c r="H369" s="23">
        <v>46153</v>
      </c>
      <c r="I369" s="16" t="s">
        <v>228</v>
      </c>
      <c r="J369" s="6" t="s">
        <v>592</v>
      </c>
    </row>
    <row r="370" spans="1:10" ht="15" customHeight="1">
      <c r="A370" s="5" t="s">
        <v>958</v>
      </c>
      <c r="B370" s="16" t="s">
        <v>89</v>
      </c>
      <c r="C370" s="16" t="s">
        <v>171</v>
      </c>
      <c r="D370" s="16" t="s">
        <v>583</v>
      </c>
      <c r="E370" s="21">
        <v>1</v>
      </c>
      <c r="F370" s="21">
        <f>IFERROR(INDEX(competency_model!$F$2:$F$25,MATCH(C370,competency_model!$A$2:$A$25,0)),"")</f>
        <v>4</v>
      </c>
      <c r="G370" s="21">
        <f t="shared" si="5"/>
        <v>3</v>
      </c>
      <c r="H370" s="23">
        <v>45872</v>
      </c>
      <c r="I370" s="16" t="s">
        <v>228</v>
      </c>
      <c r="J370" s="6" t="s">
        <v>596</v>
      </c>
    </row>
    <row r="371" spans="1:10" ht="15" customHeight="1">
      <c r="A371" s="5" t="s">
        <v>959</v>
      </c>
      <c r="B371" s="16" t="s">
        <v>89</v>
      </c>
      <c r="C371" s="16" t="s">
        <v>171</v>
      </c>
      <c r="D371" s="16" t="s">
        <v>586</v>
      </c>
      <c r="E371" s="21">
        <v>1</v>
      </c>
      <c r="F371" s="21">
        <f>IFERROR(INDEX(competency_model!$F$2:$F$25,MATCH(C371,competency_model!$A$2:$A$25,0)),"")</f>
        <v>4</v>
      </c>
      <c r="G371" s="21">
        <f t="shared" si="5"/>
        <v>3</v>
      </c>
      <c r="H371" s="23">
        <v>45979</v>
      </c>
      <c r="I371" s="16" t="s">
        <v>225</v>
      </c>
      <c r="J371" s="6" t="s">
        <v>596</v>
      </c>
    </row>
    <row r="372" spans="1:10" ht="15" customHeight="1">
      <c r="A372" s="5" t="s">
        <v>960</v>
      </c>
      <c r="B372" s="16" t="s">
        <v>89</v>
      </c>
      <c r="C372" s="16" t="s">
        <v>171</v>
      </c>
      <c r="D372" s="16" t="s">
        <v>589</v>
      </c>
      <c r="E372" s="21">
        <v>2</v>
      </c>
      <c r="F372" s="21">
        <f>IFERROR(INDEX(competency_model!$F$2:$F$25,MATCH(C372,competency_model!$A$2:$A$25,0)),"")</f>
        <v>4</v>
      </c>
      <c r="G372" s="21">
        <f t="shared" si="5"/>
        <v>2</v>
      </c>
      <c r="H372" s="23">
        <v>46074</v>
      </c>
      <c r="I372" s="16" t="s">
        <v>228</v>
      </c>
      <c r="J372" s="6" t="s">
        <v>592</v>
      </c>
    </row>
    <row r="373" spans="1:10" ht="15" customHeight="1">
      <c r="A373" s="5" t="s">
        <v>961</v>
      </c>
      <c r="B373" s="16" t="s">
        <v>89</v>
      </c>
      <c r="C373" s="16" t="s">
        <v>171</v>
      </c>
      <c r="D373" s="16" t="s">
        <v>591</v>
      </c>
      <c r="E373" s="21">
        <v>4</v>
      </c>
      <c r="F373" s="21">
        <f>IFERROR(INDEX(competency_model!$F$2:$F$25,MATCH(C373,competency_model!$A$2:$A$25,0)),"")</f>
        <v>4</v>
      </c>
      <c r="G373" s="21">
        <f t="shared" si="5"/>
        <v>0</v>
      </c>
      <c r="H373" s="23">
        <v>46154</v>
      </c>
      <c r="I373" s="16" t="s">
        <v>222</v>
      </c>
      <c r="J373" s="6" t="s">
        <v>587</v>
      </c>
    </row>
    <row r="374" spans="1:10" ht="15" customHeight="1">
      <c r="A374" s="5" t="s">
        <v>962</v>
      </c>
      <c r="B374" s="16" t="s">
        <v>89</v>
      </c>
      <c r="C374" s="16" t="s">
        <v>192</v>
      </c>
      <c r="D374" s="16" t="s">
        <v>583</v>
      </c>
      <c r="E374" s="21">
        <v>3</v>
      </c>
      <c r="F374" s="21">
        <f>IFERROR(INDEX(competency_model!$F$2:$F$25,MATCH(C374,competency_model!$A$2:$A$25,0)),"")</f>
        <v>4</v>
      </c>
      <c r="G374" s="21">
        <f t="shared" si="5"/>
        <v>1</v>
      </c>
      <c r="H374" s="23">
        <v>45894</v>
      </c>
      <c r="I374" s="16" t="s">
        <v>228</v>
      </c>
      <c r="J374" s="6" t="s">
        <v>587</v>
      </c>
    </row>
    <row r="375" spans="1:10" ht="15" customHeight="1">
      <c r="A375" s="5" t="s">
        <v>963</v>
      </c>
      <c r="B375" s="16" t="s">
        <v>89</v>
      </c>
      <c r="C375" s="16" t="s">
        <v>192</v>
      </c>
      <c r="D375" s="16" t="s">
        <v>586</v>
      </c>
      <c r="E375" s="21">
        <v>3</v>
      </c>
      <c r="F375" s="21">
        <f>IFERROR(INDEX(competency_model!$F$2:$F$25,MATCH(C375,competency_model!$A$2:$A$25,0)),"")</f>
        <v>4</v>
      </c>
      <c r="G375" s="21">
        <f t="shared" si="5"/>
        <v>1</v>
      </c>
      <c r="H375" s="23">
        <v>45979</v>
      </c>
      <c r="I375" s="16" t="s">
        <v>222</v>
      </c>
      <c r="J375" s="6" t="s">
        <v>587</v>
      </c>
    </row>
    <row r="376" spans="1:10" ht="15" customHeight="1">
      <c r="A376" s="5" t="s">
        <v>964</v>
      </c>
      <c r="B376" s="16" t="s">
        <v>89</v>
      </c>
      <c r="C376" s="16" t="s">
        <v>192</v>
      </c>
      <c r="D376" s="16" t="s">
        <v>589</v>
      </c>
      <c r="E376" s="21">
        <v>4</v>
      </c>
      <c r="F376" s="21">
        <f>IFERROR(INDEX(competency_model!$F$2:$F$25,MATCH(C376,competency_model!$A$2:$A$25,0)),"")</f>
        <v>4</v>
      </c>
      <c r="G376" s="21">
        <f t="shared" si="5"/>
        <v>0</v>
      </c>
      <c r="H376" s="23">
        <v>46058</v>
      </c>
      <c r="I376" s="16" t="s">
        <v>228</v>
      </c>
      <c r="J376" s="6" t="s">
        <v>587</v>
      </c>
    </row>
    <row r="377" spans="1:10" ht="15" customHeight="1">
      <c r="A377" s="5" t="s">
        <v>965</v>
      </c>
      <c r="B377" s="16" t="s">
        <v>89</v>
      </c>
      <c r="C377" s="16" t="s">
        <v>192</v>
      </c>
      <c r="D377" s="16" t="s">
        <v>591</v>
      </c>
      <c r="E377" s="21">
        <v>5</v>
      </c>
      <c r="F377" s="21">
        <f>IFERROR(INDEX(competency_model!$F$2:$F$25,MATCH(C377,competency_model!$A$2:$A$25,0)),"")</f>
        <v>4</v>
      </c>
      <c r="G377" s="21">
        <f t="shared" si="5"/>
        <v>0</v>
      </c>
      <c r="H377" s="23">
        <v>46165</v>
      </c>
      <c r="I377" s="16" t="s">
        <v>228</v>
      </c>
      <c r="J377" s="6" t="s">
        <v>587</v>
      </c>
    </row>
    <row r="378" spans="1:10" ht="15" customHeight="1">
      <c r="A378" s="5" t="s">
        <v>966</v>
      </c>
      <c r="B378" s="16" t="s">
        <v>89</v>
      </c>
      <c r="C378" s="16" t="s">
        <v>173</v>
      </c>
      <c r="D378" s="16" t="s">
        <v>583</v>
      </c>
      <c r="E378" s="21">
        <v>1</v>
      </c>
      <c r="F378" s="21">
        <f>IFERROR(INDEX(competency_model!$F$2:$F$25,MATCH(C378,competency_model!$A$2:$A$25,0)),"")</f>
        <v>3</v>
      </c>
      <c r="G378" s="21">
        <f t="shared" si="5"/>
        <v>2</v>
      </c>
      <c r="H378" s="23">
        <v>45896</v>
      </c>
      <c r="I378" s="16" t="s">
        <v>225</v>
      </c>
      <c r="J378" s="6" t="s">
        <v>592</v>
      </c>
    </row>
    <row r="379" spans="1:10" ht="15" customHeight="1">
      <c r="A379" s="5" t="s">
        <v>967</v>
      </c>
      <c r="B379" s="16" t="s">
        <v>89</v>
      </c>
      <c r="C379" s="16" t="s">
        <v>173</v>
      </c>
      <c r="D379" s="16" t="s">
        <v>586</v>
      </c>
      <c r="E379" s="21">
        <v>1</v>
      </c>
      <c r="F379" s="21">
        <f>IFERROR(INDEX(competency_model!$F$2:$F$25,MATCH(C379,competency_model!$A$2:$A$25,0)),"")</f>
        <v>3</v>
      </c>
      <c r="G379" s="21">
        <f t="shared" si="5"/>
        <v>2</v>
      </c>
      <c r="H379" s="23">
        <v>45982</v>
      </c>
      <c r="I379" s="16" t="s">
        <v>222</v>
      </c>
      <c r="J379" s="6" t="s">
        <v>584</v>
      </c>
    </row>
    <row r="380" spans="1:10" ht="15" customHeight="1">
      <c r="A380" s="5" t="s">
        <v>968</v>
      </c>
      <c r="B380" s="16" t="s">
        <v>89</v>
      </c>
      <c r="C380" s="16" t="s">
        <v>173</v>
      </c>
      <c r="D380" s="16" t="s">
        <v>589</v>
      </c>
      <c r="E380" s="21">
        <v>2</v>
      </c>
      <c r="F380" s="21">
        <f>IFERROR(INDEX(competency_model!$F$2:$F$25,MATCH(C380,competency_model!$A$2:$A$25,0)),"")</f>
        <v>3</v>
      </c>
      <c r="G380" s="21">
        <f t="shared" si="5"/>
        <v>1</v>
      </c>
      <c r="H380" s="23">
        <v>46077</v>
      </c>
      <c r="I380" s="16" t="s">
        <v>225</v>
      </c>
      <c r="J380" s="6" t="s">
        <v>596</v>
      </c>
    </row>
    <row r="381" spans="1:10" ht="15" customHeight="1">
      <c r="A381" s="7" t="s">
        <v>969</v>
      </c>
      <c r="B381" s="17" t="s">
        <v>89</v>
      </c>
      <c r="C381" s="17" t="s">
        <v>173</v>
      </c>
      <c r="D381" s="17" t="s">
        <v>591</v>
      </c>
      <c r="E381" s="22">
        <v>2</v>
      </c>
      <c r="F381" s="22">
        <f>IFERROR(INDEX(competency_model!$F$2:$F$25,MATCH(C381,competency_model!$A$2:$A$25,0)),"")</f>
        <v>3</v>
      </c>
      <c r="G381" s="22">
        <f t="shared" si="5"/>
        <v>1</v>
      </c>
      <c r="H381" s="24">
        <v>46166</v>
      </c>
      <c r="I381" s="17" t="s">
        <v>228</v>
      </c>
      <c r="J381" s="8" t="s">
        <v>584</v>
      </c>
    </row>
  </sheetData>
  <dataValidations count="1">
    <dataValidation type="list" sqref="I2:I381" xr:uid="{00000000-0002-0000-0600-000000000000}">
      <formula1>"Verified,Partial,Missing"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1"/>
  <sheetViews>
    <sheetView showGridLines="0" workbookViewId="0"/>
  </sheetViews>
  <sheetFormatPr defaultRowHeight="13.5"/>
  <cols>
    <col min="1" max="1" width="9.75" customWidth="1"/>
    <col min="2" max="2" width="11.625" customWidth="1"/>
    <col min="3" max="3" width="10.375" customWidth="1"/>
    <col min="4" max="4" width="12.25" customWidth="1"/>
    <col min="5" max="5" width="16.875" customWidth="1"/>
    <col min="6" max="6" width="12.625" customWidth="1"/>
    <col min="7" max="7" width="14.625" customWidth="1"/>
    <col min="8" max="8" width="11.5" customWidth="1"/>
    <col min="9" max="9" width="20.5" customWidth="1"/>
    <col min="10" max="10" width="10.75" customWidth="1"/>
    <col min="11" max="11" width="19.375" customWidth="1"/>
  </cols>
  <sheetData>
    <row r="1" spans="1:11" ht="15" customHeight="1">
      <c r="A1" s="9" t="s">
        <v>970</v>
      </c>
      <c r="B1" s="18" t="s">
        <v>208</v>
      </c>
      <c r="C1" s="18" t="s">
        <v>37</v>
      </c>
      <c r="D1" s="18" t="s">
        <v>138</v>
      </c>
      <c r="E1" s="18" t="s">
        <v>971</v>
      </c>
      <c r="F1" s="18" t="s">
        <v>972</v>
      </c>
      <c r="G1" s="18" t="s">
        <v>973</v>
      </c>
      <c r="H1" s="18" t="s">
        <v>974</v>
      </c>
      <c r="I1" s="18" t="s">
        <v>975</v>
      </c>
      <c r="J1" s="18" t="s">
        <v>976</v>
      </c>
      <c r="K1" s="10" t="s">
        <v>977</v>
      </c>
    </row>
    <row r="2" spans="1:11" ht="15" customHeight="1">
      <c r="A2" s="5" t="s">
        <v>978</v>
      </c>
      <c r="B2" s="16" t="s">
        <v>221</v>
      </c>
      <c r="C2" s="16" t="s">
        <v>46</v>
      </c>
      <c r="D2" s="16" t="s">
        <v>169</v>
      </c>
      <c r="E2" s="16" t="s">
        <v>979</v>
      </c>
      <c r="F2" s="23">
        <v>46195.325546990738</v>
      </c>
      <c r="G2" s="16" t="s">
        <v>222</v>
      </c>
      <c r="H2" s="16"/>
      <c r="I2" s="16" t="s">
        <v>980</v>
      </c>
      <c r="J2" s="21">
        <v>3</v>
      </c>
      <c r="K2" s="6" t="s">
        <v>981</v>
      </c>
    </row>
    <row r="3" spans="1:11" ht="15" customHeight="1">
      <c r="A3" s="5" t="s">
        <v>982</v>
      </c>
      <c r="B3" s="16" t="s">
        <v>224</v>
      </c>
      <c r="C3" s="16" t="s">
        <v>46</v>
      </c>
      <c r="D3" s="16" t="s">
        <v>197</v>
      </c>
      <c r="E3" s="16" t="s">
        <v>983</v>
      </c>
      <c r="F3" s="23">
        <v>46190.880895057868</v>
      </c>
      <c r="G3" s="16" t="s">
        <v>984</v>
      </c>
      <c r="H3" s="16" t="s">
        <v>77</v>
      </c>
      <c r="I3" s="16" t="s">
        <v>985</v>
      </c>
      <c r="J3" s="21">
        <v>3</v>
      </c>
      <c r="K3" s="6" t="s">
        <v>986</v>
      </c>
    </row>
    <row r="4" spans="1:11" ht="15" customHeight="1">
      <c r="A4" s="5" t="s">
        <v>987</v>
      </c>
      <c r="B4" s="16" t="s">
        <v>227</v>
      </c>
      <c r="C4" s="16" t="s">
        <v>46</v>
      </c>
      <c r="D4" s="16" t="s">
        <v>178</v>
      </c>
      <c r="E4" s="16" t="s">
        <v>979</v>
      </c>
      <c r="F4" s="23">
        <v>45982.810016550924</v>
      </c>
      <c r="G4" s="16" t="s">
        <v>984</v>
      </c>
      <c r="H4" s="16" t="s">
        <v>86</v>
      </c>
      <c r="I4" s="16" t="s">
        <v>988</v>
      </c>
      <c r="J4" s="21">
        <v>2</v>
      </c>
      <c r="K4" s="6" t="s">
        <v>989</v>
      </c>
    </row>
    <row r="5" spans="1:11" ht="15" customHeight="1">
      <c r="A5" s="5" t="s">
        <v>990</v>
      </c>
      <c r="B5" s="16" t="s">
        <v>230</v>
      </c>
      <c r="C5" s="16" t="s">
        <v>46</v>
      </c>
      <c r="D5" s="16" t="s">
        <v>154</v>
      </c>
      <c r="E5" s="16" t="s">
        <v>983</v>
      </c>
      <c r="F5" s="23">
        <v>46110.382726296295</v>
      </c>
      <c r="G5" s="16" t="s">
        <v>991</v>
      </c>
      <c r="H5" s="16" t="s">
        <v>83</v>
      </c>
      <c r="I5" s="16" t="s">
        <v>992</v>
      </c>
      <c r="J5" s="21">
        <v>5</v>
      </c>
      <c r="K5" s="6" t="s">
        <v>986</v>
      </c>
    </row>
    <row r="6" spans="1:11" ht="15" customHeight="1">
      <c r="A6" s="5" t="s">
        <v>993</v>
      </c>
      <c r="B6" s="16" t="s">
        <v>232</v>
      </c>
      <c r="C6" s="16" t="s">
        <v>46</v>
      </c>
      <c r="D6" s="16" t="s">
        <v>160</v>
      </c>
      <c r="E6" s="16" t="s">
        <v>994</v>
      </c>
      <c r="F6" s="23">
        <v>46178.995933796294</v>
      </c>
      <c r="G6" s="16" t="s">
        <v>995</v>
      </c>
      <c r="H6" s="16" t="s">
        <v>67</v>
      </c>
      <c r="I6" s="16" t="s">
        <v>996</v>
      </c>
      <c r="J6" s="21">
        <v>3</v>
      </c>
      <c r="K6" s="6"/>
    </row>
    <row r="7" spans="1:11" ht="15" customHeight="1">
      <c r="A7" s="5" t="s">
        <v>997</v>
      </c>
      <c r="B7" s="16" t="s">
        <v>234</v>
      </c>
      <c r="C7" s="16" t="s">
        <v>46</v>
      </c>
      <c r="D7" s="16" t="s">
        <v>206</v>
      </c>
      <c r="E7" s="16" t="s">
        <v>979</v>
      </c>
      <c r="F7" s="23">
        <v>46135.099575844906</v>
      </c>
      <c r="G7" s="16" t="s">
        <v>222</v>
      </c>
      <c r="H7" s="16"/>
      <c r="I7" s="16" t="s">
        <v>998</v>
      </c>
      <c r="J7" s="21">
        <v>3</v>
      </c>
      <c r="K7" s="6" t="s">
        <v>981</v>
      </c>
    </row>
    <row r="8" spans="1:11" ht="15" customHeight="1">
      <c r="A8" s="5" t="s">
        <v>999</v>
      </c>
      <c r="B8" s="16" t="s">
        <v>235</v>
      </c>
      <c r="C8" s="16" t="s">
        <v>46</v>
      </c>
      <c r="D8" s="16" t="s">
        <v>181</v>
      </c>
      <c r="E8" s="16" t="s">
        <v>994</v>
      </c>
      <c r="F8" s="23">
        <v>46105.835551516204</v>
      </c>
      <c r="G8" s="16" t="s">
        <v>222</v>
      </c>
      <c r="H8" s="16"/>
      <c r="I8" s="16" t="s">
        <v>1000</v>
      </c>
      <c r="J8" s="21">
        <v>3</v>
      </c>
      <c r="K8" s="6" t="s">
        <v>981</v>
      </c>
    </row>
    <row r="9" spans="1:11" ht="15" customHeight="1">
      <c r="A9" s="5" t="s">
        <v>1001</v>
      </c>
      <c r="B9" s="16" t="s">
        <v>236</v>
      </c>
      <c r="C9" s="16" t="s">
        <v>46</v>
      </c>
      <c r="D9" s="16" t="s">
        <v>163</v>
      </c>
      <c r="E9" s="16" t="s">
        <v>983</v>
      </c>
      <c r="F9" s="23">
        <v>45974.586636678243</v>
      </c>
      <c r="G9" s="16" t="s">
        <v>991</v>
      </c>
      <c r="H9" s="16" t="s">
        <v>67</v>
      </c>
      <c r="I9" s="16" t="s">
        <v>1002</v>
      </c>
      <c r="J9" s="21">
        <v>5</v>
      </c>
      <c r="K9" s="6"/>
    </row>
    <row r="10" spans="1:11" ht="15" customHeight="1">
      <c r="A10" s="5" t="s">
        <v>1003</v>
      </c>
      <c r="B10" s="16" t="s">
        <v>237</v>
      </c>
      <c r="C10" s="16" t="s">
        <v>53</v>
      </c>
      <c r="D10" s="16" t="s">
        <v>197</v>
      </c>
      <c r="E10" s="16" t="s">
        <v>1004</v>
      </c>
      <c r="F10" s="23">
        <v>46162.615992592589</v>
      </c>
      <c r="G10" s="16" t="s">
        <v>984</v>
      </c>
      <c r="H10" s="16" t="s">
        <v>67</v>
      </c>
      <c r="I10" s="16" t="s">
        <v>1005</v>
      </c>
      <c r="J10" s="21">
        <v>1</v>
      </c>
      <c r="K10" s="6" t="s">
        <v>989</v>
      </c>
    </row>
    <row r="11" spans="1:11" ht="15" customHeight="1">
      <c r="A11" s="5" t="s">
        <v>1006</v>
      </c>
      <c r="B11" s="16" t="s">
        <v>238</v>
      </c>
      <c r="C11" s="16" t="s">
        <v>53</v>
      </c>
      <c r="D11" s="16" t="s">
        <v>149</v>
      </c>
      <c r="E11" s="16" t="s">
        <v>983</v>
      </c>
      <c r="F11" s="23">
        <v>46075.997197824072</v>
      </c>
      <c r="G11" s="16" t="s">
        <v>991</v>
      </c>
      <c r="H11" s="16" t="s">
        <v>51</v>
      </c>
      <c r="I11" s="16" t="s">
        <v>1007</v>
      </c>
      <c r="J11" s="21">
        <v>4</v>
      </c>
      <c r="K11" s="6" t="s">
        <v>986</v>
      </c>
    </row>
    <row r="12" spans="1:11" ht="15" customHeight="1">
      <c r="A12" s="5" t="s">
        <v>1008</v>
      </c>
      <c r="B12" s="16" t="s">
        <v>240</v>
      </c>
      <c r="C12" s="16" t="s">
        <v>53</v>
      </c>
      <c r="D12" s="16" t="s">
        <v>189</v>
      </c>
      <c r="E12" s="16" t="s">
        <v>983</v>
      </c>
      <c r="F12" s="23">
        <v>45827.479105381943</v>
      </c>
      <c r="G12" s="16" t="s">
        <v>995</v>
      </c>
      <c r="H12" s="16" t="s">
        <v>67</v>
      </c>
      <c r="I12" s="16" t="s">
        <v>1009</v>
      </c>
      <c r="J12" s="21">
        <v>1</v>
      </c>
      <c r="K12" s="6"/>
    </row>
    <row r="13" spans="1:11" ht="15" customHeight="1">
      <c r="A13" s="5" t="s">
        <v>1010</v>
      </c>
      <c r="B13" s="16" t="s">
        <v>241</v>
      </c>
      <c r="C13" s="16" t="s">
        <v>53</v>
      </c>
      <c r="D13" s="16" t="s">
        <v>151</v>
      </c>
      <c r="E13" s="16" t="s">
        <v>1011</v>
      </c>
      <c r="F13" s="23">
        <v>46015.563460243058</v>
      </c>
      <c r="G13" s="16" t="s">
        <v>991</v>
      </c>
      <c r="H13" s="16" t="s">
        <v>67</v>
      </c>
      <c r="I13" s="16" t="s">
        <v>1012</v>
      </c>
      <c r="J13" s="21">
        <v>5</v>
      </c>
      <c r="K13" s="6" t="s">
        <v>989</v>
      </c>
    </row>
    <row r="14" spans="1:11" ht="15" customHeight="1">
      <c r="A14" s="5" t="s">
        <v>1013</v>
      </c>
      <c r="B14" s="16" t="s">
        <v>243</v>
      </c>
      <c r="C14" s="16" t="s">
        <v>53</v>
      </c>
      <c r="D14" s="16" t="s">
        <v>160</v>
      </c>
      <c r="E14" s="16" t="s">
        <v>1004</v>
      </c>
      <c r="F14" s="23">
        <v>46012.53837829861</v>
      </c>
      <c r="G14" s="16" t="s">
        <v>222</v>
      </c>
      <c r="H14" s="16"/>
      <c r="I14" s="16" t="s">
        <v>1014</v>
      </c>
      <c r="J14" s="21">
        <v>3</v>
      </c>
      <c r="K14" s="6" t="s">
        <v>981</v>
      </c>
    </row>
    <row r="15" spans="1:11" ht="15" customHeight="1">
      <c r="A15" s="5" t="s">
        <v>1015</v>
      </c>
      <c r="B15" s="16" t="s">
        <v>244</v>
      </c>
      <c r="C15" s="16" t="s">
        <v>53</v>
      </c>
      <c r="D15" s="16" t="s">
        <v>202</v>
      </c>
      <c r="E15" s="16" t="s">
        <v>983</v>
      </c>
      <c r="F15" s="23">
        <v>46137.595393877316</v>
      </c>
      <c r="G15" s="16" t="s">
        <v>222</v>
      </c>
      <c r="H15" s="16"/>
      <c r="I15" s="16" t="s">
        <v>1016</v>
      </c>
      <c r="J15" s="21">
        <v>3</v>
      </c>
      <c r="K15" s="6" t="s">
        <v>981</v>
      </c>
    </row>
    <row r="16" spans="1:11" ht="15" customHeight="1">
      <c r="A16" s="5" t="s">
        <v>1017</v>
      </c>
      <c r="B16" s="16" t="s">
        <v>245</v>
      </c>
      <c r="C16" s="16" t="s">
        <v>53</v>
      </c>
      <c r="D16" s="16" t="s">
        <v>157</v>
      </c>
      <c r="E16" s="16" t="s">
        <v>1018</v>
      </c>
      <c r="F16" s="23">
        <v>46005.594285254629</v>
      </c>
      <c r="G16" s="16" t="s">
        <v>995</v>
      </c>
      <c r="H16" s="16" t="s">
        <v>77</v>
      </c>
      <c r="I16" s="16" t="s">
        <v>1019</v>
      </c>
      <c r="J16" s="21">
        <v>1</v>
      </c>
      <c r="K16" s="6" t="s">
        <v>986</v>
      </c>
    </row>
    <row r="17" spans="1:11" ht="15" customHeight="1">
      <c r="A17" s="5" t="s">
        <v>1020</v>
      </c>
      <c r="B17" s="16" t="s">
        <v>246</v>
      </c>
      <c r="C17" s="16" t="s">
        <v>53</v>
      </c>
      <c r="D17" s="16" t="s">
        <v>144</v>
      </c>
      <c r="E17" s="16" t="s">
        <v>983</v>
      </c>
      <c r="F17" s="23">
        <v>46106.95479596065</v>
      </c>
      <c r="G17" s="16" t="s">
        <v>984</v>
      </c>
      <c r="H17" s="16" t="s">
        <v>67</v>
      </c>
      <c r="I17" s="16" t="s">
        <v>1021</v>
      </c>
      <c r="J17" s="21">
        <v>3</v>
      </c>
      <c r="K17" s="6"/>
    </row>
    <row r="18" spans="1:11" ht="15" customHeight="1">
      <c r="A18" s="5" t="s">
        <v>1022</v>
      </c>
      <c r="B18" s="16" t="s">
        <v>247</v>
      </c>
      <c r="C18" s="16" t="s">
        <v>58</v>
      </c>
      <c r="D18" s="16" t="s">
        <v>175</v>
      </c>
      <c r="E18" s="16" t="s">
        <v>1018</v>
      </c>
      <c r="F18" s="23">
        <v>45765.866807604165</v>
      </c>
      <c r="G18" s="16" t="s">
        <v>991</v>
      </c>
      <c r="H18" s="16" t="s">
        <v>86</v>
      </c>
      <c r="I18" s="16" t="s">
        <v>1023</v>
      </c>
      <c r="J18" s="21">
        <v>5</v>
      </c>
      <c r="K18" s="6"/>
    </row>
    <row r="19" spans="1:11" ht="15" customHeight="1">
      <c r="A19" s="5" t="s">
        <v>1024</v>
      </c>
      <c r="B19" s="16" t="s">
        <v>248</v>
      </c>
      <c r="C19" s="16" t="s">
        <v>58</v>
      </c>
      <c r="D19" s="16" t="s">
        <v>163</v>
      </c>
      <c r="E19" s="16" t="s">
        <v>1018</v>
      </c>
      <c r="F19" s="23">
        <v>45978.815935787039</v>
      </c>
      <c r="G19" s="16" t="s">
        <v>222</v>
      </c>
      <c r="H19" s="16"/>
      <c r="I19" s="16" t="s">
        <v>1025</v>
      </c>
      <c r="J19" s="21">
        <v>1</v>
      </c>
      <c r="K19" s="6" t="s">
        <v>981</v>
      </c>
    </row>
    <row r="20" spans="1:11" ht="15" customHeight="1">
      <c r="A20" s="5" t="s">
        <v>1026</v>
      </c>
      <c r="B20" s="16" t="s">
        <v>249</v>
      </c>
      <c r="C20" s="16" t="s">
        <v>58</v>
      </c>
      <c r="D20" s="16" t="s">
        <v>181</v>
      </c>
      <c r="E20" s="16" t="s">
        <v>1004</v>
      </c>
      <c r="F20" s="23">
        <v>46055.757929224535</v>
      </c>
      <c r="G20" s="16" t="s">
        <v>222</v>
      </c>
      <c r="H20" s="16"/>
      <c r="I20" s="16" t="s">
        <v>1027</v>
      </c>
      <c r="J20" s="21">
        <v>2</v>
      </c>
      <c r="K20" s="6" t="s">
        <v>981</v>
      </c>
    </row>
    <row r="21" spans="1:11" ht="15" customHeight="1">
      <c r="A21" s="5" t="s">
        <v>1028</v>
      </c>
      <c r="B21" s="16" t="s">
        <v>250</v>
      </c>
      <c r="C21" s="16" t="s">
        <v>58</v>
      </c>
      <c r="D21" s="16" t="s">
        <v>206</v>
      </c>
      <c r="E21" s="16" t="s">
        <v>983</v>
      </c>
      <c r="F21" s="23">
        <v>46064.11455165509</v>
      </c>
      <c r="G21" s="16" t="s">
        <v>991</v>
      </c>
      <c r="H21" s="16" t="s">
        <v>57</v>
      </c>
      <c r="I21" s="16" t="s">
        <v>1029</v>
      </c>
      <c r="J21" s="21">
        <v>5</v>
      </c>
      <c r="K21" s="6"/>
    </row>
    <row r="22" spans="1:11" ht="15" customHeight="1">
      <c r="A22" s="5" t="s">
        <v>1030</v>
      </c>
      <c r="B22" s="16" t="s">
        <v>251</v>
      </c>
      <c r="C22" s="16" t="s">
        <v>58</v>
      </c>
      <c r="D22" s="16" t="s">
        <v>197</v>
      </c>
      <c r="E22" s="16" t="s">
        <v>979</v>
      </c>
      <c r="F22" s="23">
        <v>46067.804945254633</v>
      </c>
      <c r="G22" s="16" t="s">
        <v>991</v>
      </c>
      <c r="H22" s="16" t="s">
        <v>51</v>
      </c>
      <c r="I22" s="16" t="s">
        <v>1031</v>
      </c>
      <c r="J22" s="21">
        <v>5</v>
      </c>
      <c r="K22" s="6"/>
    </row>
    <row r="23" spans="1:11" ht="15" customHeight="1">
      <c r="A23" s="5" t="s">
        <v>1032</v>
      </c>
      <c r="B23" s="16" t="s">
        <v>252</v>
      </c>
      <c r="C23" s="16" t="s">
        <v>58</v>
      </c>
      <c r="D23" s="16" t="s">
        <v>178</v>
      </c>
      <c r="E23" s="16" t="s">
        <v>1004</v>
      </c>
      <c r="F23" s="23">
        <v>46099.117303530089</v>
      </c>
      <c r="G23" s="16" t="s">
        <v>991</v>
      </c>
      <c r="H23" s="16" t="s">
        <v>57</v>
      </c>
      <c r="I23" s="16" t="s">
        <v>1033</v>
      </c>
      <c r="J23" s="21">
        <v>5</v>
      </c>
      <c r="K23" s="6"/>
    </row>
    <row r="24" spans="1:11" ht="15" customHeight="1">
      <c r="A24" s="5" t="s">
        <v>1034</v>
      </c>
      <c r="B24" s="16" t="s">
        <v>253</v>
      </c>
      <c r="C24" s="16" t="s">
        <v>58</v>
      </c>
      <c r="D24" s="16" t="s">
        <v>160</v>
      </c>
      <c r="E24" s="16" t="s">
        <v>1004</v>
      </c>
      <c r="F24" s="23">
        <v>45797.005624976853</v>
      </c>
      <c r="G24" s="16" t="s">
        <v>991</v>
      </c>
      <c r="H24" s="16" t="s">
        <v>77</v>
      </c>
      <c r="I24" s="16" t="s">
        <v>1035</v>
      </c>
      <c r="J24" s="21">
        <v>5</v>
      </c>
      <c r="K24" s="6"/>
    </row>
    <row r="25" spans="1:11" ht="15" customHeight="1">
      <c r="A25" s="5" t="s">
        <v>1036</v>
      </c>
      <c r="B25" s="16" t="s">
        <v>254</v>
      </c>
      <c r="C25" s="16" t="s">
        <v>60</v>
      </c>
      <c r="D25" s="16" t="s">
        <v>197</v>
      </c>
      <c r="E25" s="16" t="s">
        <v>1011</v>
      </c>
      <c r="F25" s="23">
        <v>45686.128259432873</v>
      </c>
      <c r="G25" s="16" t="s">
        <v>991</v>
      </c>
      <c r="H25" s="16" t="s">
        <v>67</v>
      </c>
      <c r="I25" s="16" t="s">
        <v>1037</v>
      </c>
      <c r="J25" s="21">
        <v>4</v>
      </c>
      <c r="K25" s="6" t="s">
        <v>986</v>
      </c>
    </row>
    <row r="26" spans="1:11" ht="15" customHeight="1">
      <c r="A26" s="5" t="s">
        <v>1038</v>
      </c>
      <c r="B26" s="16" t="s">
        <v>255</v>
      </c>
      <c r="C26" s="16" t="s">
        <v>60</v>
      </c>
      <c r="D26" s="16" t="s">
        <v>178</v>
      </c>
      <c r="E26" s="16" t="s">
        <v>1011</v>
      </c>
      <c r="F26" s="23">
        <v>45697.49719652778</v>
      </c>
      <c r="G26" s="16" t="s">
        <v>991</v>
      </c>
      <c r="H26" s="16" t="s">
        <v>86</v>
      </c>
      <c r="I26" s="16" t="s">
        <v>1039</v>
      </c>
      <c r="J26" s="21">
        <v>4</v>
      </c>
      <c r="K26" s="6" t="s">
        <v>989</v>
      </c>
    </row>
    <row r="27" spans="1:11" ht="15" customHeight="1">
      <c r="A27" s="5" t="s">
        <v>1040</v>
      </c>
      <c r="B27" s="16" t="s">
        <v>256</v>
      </c>
      <c r="C27" s="16" t="s">
        <v>60</v>
      </c>
      <c r="D27" s="16" t="s">
        <v>154</v>
      </c>
      <c r="E27" s="16" t="s">
        <v>1011</v>
      </c>
      <c r="F27" s="23">
        <v>46088.629594664351</v>
      </c>
      <c r="G27" s="16" t="s">
        <v>984</v>
      </c>
      <c r="H27" s="16" t="s">
        <v>67</v>
      </c>
      <c r="I27" s="16" t="s">
        <v>1041</v>
      </c>
      <c r="J27" s="21">
        <v>3</v>
      </c>
      <c r="K27" s="6" t="s">
        <v>989</v>
      </c>
    </row>
    <row r="28" spans="1:11" ht="15" customHeight="1">
      <c r="A28" s="5" t="s">
        <v>1042</v>
      </c>
      <c r="B28" s="16" t="s">
        <v>257</v>
      </c>
      <c r="C28" s="16" t="s">
        <v>60</v>
      </c>
      <c r="D28" s="16" t="s">
        <v>181</v>
      </c>
      <c r="E28" s="16" t="s">
        <v>994</v>
      </c>
      <c r="F28" s="23">
        <v>46081.02740997685</v>
      </c>
      <c r="G28" s="16" t="s">
        <v>984</v>
      </c>
      <c r="H28" s="16" t="s">
        <v>83</v>
      </c>
      <c r="I28" s="16" t="s">
        <v>1043</v>
      </c>
      <c r="J28" s="21">
        <v>3</v>
      </c>
      <c r="K28" s="6"/>
    </row>
    <row r="29" spans="1:11" ht="15" customHeight="1">
      <c r="A29" s="5" t="s">
        <v>1044</v>
      </c>
      <c r="B29" s="16" t="s">
        <v>258</v>
      </c>
      <c r="C29" s="16" t="s">
        <v>60</v>
      </c>
      <c r="D29" s="16" t="s">
        <v>163</v>
      </c>
      <c r="E29" s="16" t="s">
        <v>1011</v>
      </c>
      <c r="F29" s="23">
        <v>46085.991128946756</v>
      </c>
      <c r="G29" s="16" t="s">
        <v>995</v>
      </c>
      <c r="H29" s="16" t="s">
        <v>86</v>
      </c>
      <c r="I29" s="16" t="s">
        <v>1045</v>
      </c>
      <c r="J29" s="21">
        <v>1</v>
      </c>
      <c r="K29" s="6"/>
    </row>
    <row r="30" spans="1:11" ht="15" customHeight="1">
      <c r="A30" s="5" t="s">
        <v>1046</v>
      </c>
      <c r="B30" s="16" t="s">
        <v>259</v>
      </c>
      <c r="C30" s="16" t="s">
        <v>60</v>
      </c>
      <c r="D30" s="16" t="s">
        <v>160</v>
      </c>
      <c r="E30" s="16" t="s">
        <v>1018</v>
      </c>
      <c r="F30" s="23">
        <v>46115.720114722222</v>
      </c>
      <c r="G30" s="16" t="s">
        <v>984</v>
      </c>
      <c r="H30" s="16" t="s">
        <v>51</v>
      </c>
      <c r="I30" s="16" t="s">
        <v>1047</v>
      </c>
      <c r="J30" s="21">
        <v>3</v>
      </c>
      <c r="K30" s="6"/>
    </row>
    <row r="31" spans="1:11" ht="15" customHeight="1">
      <c r="A31" s="5" t="s">
        <v>1048</v>
      </c>
      <c r="B31" s="16" t="s">
        <v>260</v>
      </c>
      <c r="C31" s="16" t="s">
        <v>60</v>
      </c>
      <c r="D31" s="16" t="s">
        <v>204</v>
      </c>
      <c r="E31" s="16" t="s">
        <v>994</v>
      </c>
      <c r="F31" s="23">
        <v>45977.813299629626</v>
      </c>
      <c r="G31" s="16" t="s">
        <v>222</v>
      </c>
      <c r="H31" s="16"/>
      <c r="I31" s="16" t="s">
        <v>1049</v>
      </c>
      <c r="J31" s="21">
        <v>1</v>
      </c>
      <c r="K31" s="6" t="s">
        <v>981</v>
      </c>
    </row>
    <row r="32" spans="1:11" ht="15" customHeight="1">
      <c r="A32" s="5" t="s">
        <v>1050</v>
      </c>
      <c r="B32" s="16" t="s">
        <v>261</v>
      </c>
      <c r="C32" s="16" t="s">
        <v>60</v>
      </c>
      <c r="D32" s="16" t="s">
        <v>194</v>
      </c>
      <c r="E32" s="16" t="s">
        <v>1004</v>
      </c>
      <c r="F32" s="23">
        <v>45983.960698055555</v>
      </c>
      <c r="G32" s="16" t="s">
        <v>222</v>
      </c>
      <c r="H32" s="16"/>
      <c r="I32" s="16" t="s">
        <v>1051</v>
      </c>
      <c r="J32" s="21">
        <v>2</v>
      </c>
      <c r="K32" s="6" t="s">
        <v>981</v>
      </c>
    </row>
    <row r="33" spans="1:11" ht="15" customHeight="1">
      <c r="A33" s="5" t="s">
        <v>1052</v>
      </c>
      <c r="B33" s="16" t="s">
        <v>262</v>
      </c>
      <c r="C33" s="16" t="s">
        <v>64</v>
      </c>
      <c r="D33" s="16" t="s">
        <v>192</v>
      </c>
      <c r="E33" s="16" t="s">
        <v>983</v>
      </c>
      <c r="F33" s="23">
        <v>46050.804790104165</v>
      </c>
      <c r="G33" s="16" t="s">
        <v>984</v>
      </c>
      <c r="H33" s="16" t="s">
        <v>67</v>
      </c>
      <c r="I33" s="16" t="s">
        <v>1053</v>
      </c>
      <c r="J33" s="21">
        <v>2</v>
      </c>
      <c r="K33" s="6" t="s">
        <v>989</v>
      </c>
    </row>
    <row r="34" spans="1:11" ht="15" customHeight="1">
      <c r="A34" s="5" t="s">
        <v>1054</v>
      </c>
      <c r="B34" s="16" t="s">
        <v>263</v>
      </c>
      <c r="C34" s="16" t="s">
        <v>64</v>
      </c>
      <c r="D34" s="16" t="s">
        <v>175</v>
      </c>
      <c r="E34" s="16" t="s">
        <v>979</v>
      </c>
      <c r="F34" s="23">
        <v>46114.77325244213</v>
      </c>
      <c r="G34" s="16" t="s">
        <v>984</v>
      </c>
      <c r="H34" s="16" t="s">
        <v>51</v>
      </c>
      <c r="I34" s="16" t="s">
        <v>1055</v>
      </c>
      <c r="J34" s="21">
        <v>1</v>
      </c>
      <c r="K34" s="6"/>
    </row>
    <row r="35" spans="1:11" ht="15" customHeight="1">
      <c r="A35" s="5" t="s">
        <v>1056</v>
      </c>
      <c r="B35" s="16" t="s">
        <v>264</v>
      </c>
      <c r="C35" s="16" t="s">
        <v>64</v>
      </c>
      <c r="D35" s="16" t="s">
        <v>154</v>
      </c>
      <c r="E35" s="16" t="s">
        <v>1004</v>
      </c>
      <c r="F35" s="23">
        <v>46115.538931261573</v>
      </c>
      <c r="G35" s="16" t="s">
        <v>995</v>
      </c>
      <c r="H35" s="16" t="s">
        <v>86</v>
      </c>
      <c r="I35" s="16" t="s">
        <v>1057</v>
      </c>
      <c r="J35" s="21">
        <v>3</v>
      </c>
      <c r="K35" s="6" t="s">
        <v>1058</v>
      </c>
    </row>
    <row r="36" spans="1:11" ht="15" customHeight="1">
      <c r="A36" s="5" t="s">
        <v>1059</v>
      </c>
      <c r="B36" s="16" t="s">
        <v>265</v>
      </c>
      <c r="C36" s="16" t="s">
        <v>64</v>
      </c>
      <c r="D36" s="16" t="s">
        <v>189</v>
      </c>
      <c r="E36" s="16" t="s">
        <v>1004</v>
      </c>
      <c r="F36" s="23">
        <v>46028.391721701388</v>
      </c>
      <c r="G36" s="16" t="s">
        <v>991</v>
      </c>
      <c r="H36" s="16" t="s">
        <v>83</v>
      </c>
      <c r="I36" s="16" t="s">
        <v>1060</v>
      </c>
      <c r="J36" s="21">
        <v>4</v>
      </c>
      <c r="K36" s="6"/>
    </row>
    <row r="37" spans="1:11" ht="15" customHeight="1">
      <c r="A37" s="5" t="s">
        <v>1061</v>
      </c>
      <c r="B37" s="16" t="s">
        <v>266</v>
      </c>
      <c r="C37" s="16" t="s">
        <v>64</v>
      </c>
      <c r="D37" s="16" t="s">
        <v>197</v>
      </c>
      <c r="E37" s="16" t="s">
        <v>1011</v>
      </c>
      <c r="F37" s="23">
        <v>45990.48354765046</v>
      </c>
      <c r="G37" s="16" t="s">
        <v>222</v>
      </c>
      <c r="H37" s="16"/>
      <c r="I37" s="16" t="s">
        <v>1062</v>
      </c>
      <c r="J37" s="21">
        <v>3</v>
      </c>
      <c r="K37" s="6" t="s">
        <v>981</v>
      </c>
    </row>
    <row r="38" spans="1:11" ht="15" customHeight="1">
      <c r="A38" s="5" t="s">
        <v>1063</v>
      </c>
      <c r="B38" s="16" t="s">
        <v>267</v>
      </c>
      <c r="C38" s="16" t="s">
        <v>64</v>
      </c>
      <c r="D38" s="16" t="s">
        <v>160</v>
      </c>
      <c r="E38" s="16" t="s">
        <v>994</v>
      </c>
      <c r="F38" s="23">
        <v>46136.004437766205</v>
      </c>
      <c r="G38" s="16" t="s">
        <v>222</v>
      </c>
      <c r="H38" s="16"/>
      <c r="I38" s="16" t="s">
        <v>1064</v>
      </c>
      <c r="J38" s="21">
        <v>3</v>
      </c>
      <c r="K38" s="6" t="s">
        <v>981</v>
      </c>
    </row>
    <row r="39" spans="1:11" ht="15" customHeight="1">
      <c r="A39" s="5" t="s">
        <v>1065</v>
      </c>
      <c r="B39" s="16" t="s">
        <v>268</v>
      </c>
      <c r="C39" s="16" t="s">
        <v>68</v>
      </c>
      <c r="D39" s="16" t="s">
        <v>186</v>
      </c>
      <c r="E39" s="16" t="s">
        <v>979</v>
      </c>
      <c r="F39" s="23">
        <v>45713.760981342595</v>
      </c>
      <c r="G39" s="16" t="s">
        <v>222</v>
      </c>
      <c r="H39" s="16"/>
      <c r="I39" s="16" t="s">
        <v>1066</v>
      </c>
      <c r="J39" s="21">
        <v>3</v>
      </c>
      <c r="K39" s="6" t="s">
        <v>981</v>
      </c>
    </row>
    <row r="40" spans="1:11" ht="15" customHeight="1">
      <c r="A40" s="5" t="s">
        <v>1067</v>
      </c>
      <c r="B40" s="16" t="s">
        <v>269</v>
      </c>
      <c r="C40" s="16" t="s">
        <v>68</v>
      </c>
      <c r="D40" s="16" t="s">
        <v>160</v>
      </c>
      <c r="E40" s="16" t="s">
        <v>1004</v>
      </c>
      <c r="F40" s="23">
        <v>46132.086889537037</v>
      </c>
      <c r="G40" s="16" t="s">
        <v>984</v>
      </c>
      <c r="H40" s="16" t="s">
        <v>83</v>
      </c>
      <c r="I40" s="16" t="s">
        <v>1068</v>
      </c>
      <c r="J40" s="21">
        <v>2</v>
      </c>
      <c r="K40" s="6" t="s">
        <v>989</v>
      </c>
    </row>
    <row r="41" spans="1:11" ht="15" customHeight="1">
      <c r="A41" s="5" t="s">
        <v>1069</v>
      </c>
      <c r="B41" s="16" t="s">
        <v>270</v>
      </c>
      <c r="C41" s="16" t="s">
        <v>68</v>
      </c>
      <c r="D41" s="16" t="s">
        <v>173</v>
      </c>
      <c r="E41" s="16" t="s">
        <v>1011</v>
      </c>
      <c r="F41" s="23">
        <v>46033.022548449073</v>
      </c>
      <c r="G41" s="16" t="s">
        <v>991</v>
      </c>
      <c r="H41" s="16" t="s">
        <v>77</v>
      </c>
      <c r="I41" s="16" t="s">
        <v>1070</v>
      </c>
      <c r="J41" s="21">
        <v>5</v>
      </c>
      <c r="K41" s="6"/>
    </row>
    <row r="42" spans="1:11" ht="15" customHeight="1">
      <c r="A42" s="5" t="s">
        <v>1071</v>
      </c>
      <c r="B42" s="16" t="s">
        <v>271</v>
      </c>
      <c r="C42" s="16" t="s">
        <v>68</v>
      </c>
      <c r="D42" s="16" t="s">
        <v>151</v>
      </c>
      <c r="E42" s="16" t="s">
        <v>1004</v>
      </c>
      <c r="F42" s="23">
        <v>46148.429233692128</v>
      </c>
      <c r="G42" s="16" t="s">
        <v>995</v>
      </c>
      <c r="H42" s="16" t="s">
        <v>51</v>
      </c>
      <c r="I42" s="16" t="s">
        <v>1072</v>
      </c>
      <c r="J42" s="21">
        <v>1</v>
      </c>
      <c r="K42" s="6"/>
    </row>
    <row r="43" spans="1:11" ht="15" customHeight="1">
      <c r="A43" s="5" t="s">
        <v>1073</v>
      </c>
      <c r="B43" s="16" t="s">
        <v>272</v>
      </c>
      <c r="C43" s="16" t="s">
        <v>68</v>
      </c>
      <c r="D43" s="16" t="s">
        <v>178</v>
      </c>
      <c r="E43" s="16" t="s">
        <v>1018</v>
      </c>
      <c r="F43" s="23">
        <v>46005.209291377316</v>
      </c>
      <c r="G43" s="16" t="s">
        <v>222</v>
      </c>
      <c r="H43" s="16"/>
      <c r="I43" s="16" t="s">
        <v>1074</v>
      </c>
      <c r="J43" s="21">
        <v>2</v>
      </c>
      <c r="K43" s="6" t="s">
        <v>981</v>
      </c>
    </row>
    <row r="44" spans="1:11" ht="15" customHeight="1">
      <c r="A44" s="5" t="s">
        <v>1075</v>
      </c>
      <c r="B44" s="16" t="s">
        <v>273</v>
      </c>
      <c r="C44" s="16" t="s">
        <v>68</v>
      </c>
      <c r="D44" s="16" t="s">
        <v>197</v>
      </c>
      <c r="E44" s="16" t="s">
        <v>1004</v>
      </c>
      <c r="F44" s="23">
        <v>46086.662948043981</v>
      </c>
      <c r="G44" s="16" t="s">
        <v>991</v>
      </c>
      <c r="H44" s="16" t="s">
        <v>57</v>
      </c>
      <c r="I44" s="16" t="s">
        <v>1076</v>
      </c>
      <c r="J44" s="21">
        <v>4</v>
      </c>
      <c r="K44" s="6" t="s">
        <v>986</v>
      </c>
    </row>
    <row r="45" spans="1:11" ht="15" customHeight="1">
      <c r="A45" s="5" t="s">
        <v>1077</v>
      </c>
      <c r="B45" s="16" t="s">
        <v>274</v>
      </c>
      <c r="C45" s="16" t="s">
        <v>68</v>
      </c>
      <c r="D45" s="16" t="s">
        <v>183</v>
      </c>
      <c r="E45" s="16" t="s">
        <v>1011</v>
      </c>
      <c r="F45" s="23">
        <v>46087.233187789352</v>
      </c>
      <c r="G45" s="16" t="s">
        <v>984</v>
      </c>
      <c r="H45" s="16" t="s">
        <v>86</v>
      </c>
      <c r="I45" s="16" t="s">
        <v>1078</v>
      </c>
      <c r="J45" s="21">
        <v>3</v>
      </c>
      <c r="K45" s="6" t="s">
        <v>986</v>
      </c>
    </row>
    <row r="46" spans="1:11" ht="15" customHeight="1">
      <c r="A46" s="5" t="s">
        <v>1079</v>
      </c>
      <c r="B46" s="16" t="s">
        <v>275</v>
      </c>
      <c r="C46" s="16" t="s">
        <v>68</v>
      </c>
      <c r="D46" s="16" t="s">
        <v>175</v>
      </c>
      <c r="E46" s="16" t="s">
        <v>983</v>
      </c>
      <c r="F46" s="23">
        <v>46077.572607604168</v>
      </c>
      <c r="G46" s="16" t="s">
        <v>984</v>
      </c>
      <c r="H46" s="16" t="s">
        <v>77</v>
      </c>
      <c r="I46" s="16" t="s">
        <v>1080</v>
      </c>
      <c r="J46" s="21">
        <v>1</v>
      </c>
      <c r="K46" s="6" t="s">
        <v>986</v>
      </c>
    </row>
    <row r="47" spans="1:11" ht="15" customHeight="1">
      <c r="A47" s="5" t="s">
        <v>1081</v>
      </c>
      <c r="B47" s="16" t="s">
        <v>276</v>
      </c>
      <c r="C47" s="16" t="s">
        <v>71</v>
      </c>
      <c r="D47" s="16" t="s">
        <v>197</v>
      </c>
      <c r="E47" s="16" t="s">
        <v>1018</v>
      </c>
      <c r="F47" s="23">
        <v>46151.083589872687</v>
      </c>
      <c r="G47" s="16" t="s">
        <v>991</v>
      </c>
      <c r="H47" s="16" t="s">
        <v>83</v>
      </c>
      <c r="I47" s="16" t="s">
        <v>1082</v>
      </c>
      <c r="J47" s="21">
        <v>5</v>
      </c>
      <c r="K47" s="6"/>
    </row>
    <row r="48" spans="1:11" ht="15" customHeight="1">
      <c r="A48" s="5" t="s">
        <v>1083</v>
      </c>
      <c r="B48" s="16" t="s">
        <v>277</v>
      </c>
      <c r="C48" s="16" t="s">
        <v>71</v>
      </c>
      <c r="D48" s="16" t="s">
        <v>202</v>
      </c>
      <c r="E48" s="16" t="s">
        <v>1004</v>
      </c>
      <c r="F48" s="23">
        <v>46037.925397025465</v>
      </c>
      <c r="G48" s="16" t="s">
        <v>991</v>
      </c>
      <c r="H48" s="16" t="s">
        <v>51</v>
      </c>
      <c r="I48" s="16" t="s">
        <v>1084</v>
      </c>
      <c r="J48" s="21">
        <v>5</v>
      </c>
      <c r="K48" s="6"/>
    </row>
    <row r="49" spans="1:11" ht="15" customHeight="1">
      <c r="A49" s="5" t="s">
        <v>1085</v>
      </c>
      <c r="B49" s="16" t="s">
        <v>278</v>
      </c>
      <c r="C49" s="16" t="s">
        <v>71</v>
      </c>
      <c r="D49" s="16" t="s">
        <v>178</v>
      </c>
      <c r="E49" s="16" t="s">
        <v>983</v>
      </c>
      <c r="F49" s="23">
        <v>45988.093856608793</v>
      </c>
      <c r="G49" s="16" t="s">
        <v>991</v>
      </c>
      <c r="H49" s="16" t="s">
        <v>86</v>
      </c>
      <c r="I49" s="16" t="s">
        <v>1086</v>
      </c>
      <c r="J49" s="21">
        <v>4</v>
      </c>
      <c r="K49" s="6" t="s">
        <v>989</v>
      </c>
    </row>
    <row r="50" spans="1:11" ht="15" customHeight="1">
      <c r="A50" s="5" t="s">
        <v>1087</v>
      </c>
      <c r="B50" s="16" t="s">
        <v>279</v>
      </c>
      <c r="C50" s="16" t="s">
        <v>71</v>
      </c>
      <c r="D50" s="16" t="s">
        <v>175</v>
      </c>
      <c r="E50" s="16" t="s">
        <v>979</v>
      </c>
      <c r="F50" s="23">
        <v>46143.31274228009</v>
      </c>
      <c r="G50" s="16" t="s">
        <v>995</v>
      </c>
      <c r="H50" s="16" t="s">
        <v>83</v>
      </c>
      <c r="I50" s="16" t="s">
        <v>1088</v>
      </c>
      <c r="J50" s="21">
        <v>2</v>
      </c>
      <c r="K50" s="6" t="s">
        <v>986</v>
      </c>
    </row>
    <row r="51" spans="1:11" ht="15" customHeight="1">
      <c r="A51" s="5" t="s">
        <v>1089</v>
      </c>
      <c r="B51" s="16" t="s">
        <v>280</v>
      </c>
      <c r="C51" s="16" t="s">
        <v>71</v>
      </c>
      <c r="D51" s="16" t="s">
        <v>144</v>
      </c>
      <c r="E51" s="16" t="s">
        <v>1011</v>
      </c>
      <c r="F51" s="23">
        <v>46195.805867523151</v>
      </c>
      <c r="G51" s="16" t="s">
        <v>991</v>
      </c>
      <c r="H51" s="16" t="s">
        <v>86</v>
      </c>
      <c r="I51" s="16" t="s">
        <v>1090</v>
      </c>
      <c r="J51" s="21">
        <v>4</v>
      </c>
      <c r="K51" s="6"/>
    </row>
    <row r="52" spans="1:11" ht="15" customHeight="1">
      <c r="A52" s="5" t="s">
        <v>1091</v>
      </c>
      <c r="B52" s="16" t="s">
        <v>281</v>
      </c>
      <c r="C52" s="16" t="s">
        <v>71</v>
      </c>
      <c r="D52" s="16" t="s">
        <v>151</v>
      </c>
      <c r="E52" s="16" t="s">
        <v>1018</v>
      </c>
      <c r="F52" s="23">
        <v>46177.836971886572</v>
      </c>
      <c r="G52" s="16" t="s">
        <v>995</v>
      </c>
      <c r="H52" s="16" t="s">
        <v>57</v>
      </c>
      <c r="I52" s="16" t="s">
        <v>1092</v>
      </c>
      <c r="J52" s="21">
        <v>2</v>
      </c>
      <c r="K52" s="6"/>
    </row>
    <row r="53" spans="1:11" ht="15" customHeight="1">
      <c r="A53" s="5" t="s">
        <v>1093</v>
      </c>
      <c r="B53" s="16" t="s">
        <v>282</v>
      </c>
      <c r="C53" s="16" t="s">
        <v>71</v>
      </c>
      <c r="D53" s="16" t="s">
        <v>163</v>
      </c>
      <c r="E53" s="16" t="s">
        <v>1011</v>
      </c>
      <c r="F53" s="23">
        <v>46150.346791064818</v>
      </c>
      <c r="G53" s="16" t="s">
        <v>991</v>
      </c>
      <c r="H53" s="16" t="s">
        <v>83</v>
      </c>
      <c r="I53" s="16" t="s">
        <v>1094</v>
      </c>
      <c r="J53" s="21">
        <v>5</v>
      </c>
      <c r="K53" s="6" t="s">
        <v>1058</v>
      </c>
    </row>
    <row r="54" spans="1:11" ht="15" customHeight="1">
      <c r="A54" s="5" t="s">
        <v>1095</v>
      </c>
      <c r="B54" s="16" t="s">
        <v>283</v>
      </c>
      <c r="C54" s="16" t="s">
        <v>71</v>
      </c>
      <c r="D54" s="16" t="s">
        <v>200</v>
      </c>
      <c r="E54" s="16" t="s">
        <v>1018</v>
      </c>
      <c r="F54" s="23">
        <v>46170.867802418979</v>
      </c>
      <c r="G54" s="16" t="s">
        <v>984</v>
      </c>
      <c r="H54" s="16" t="s">
        <v>86</v>
      </c>
      <c r="I54" s="16" t="s">
        <v>1096</v>
      </c>
      <c r="J54" s="21">
        <v>2</v>
      </c>
      <c r="K54" s="6" t="s">
        <v>989</v>
      </c>
    </row>
    <row r="55" spans="1:11" ht="15" customHeight="1">
      <c r="A55" s="5" t="s">
        <v>1097</v>
      </c>
      <c r="B55" s="16" t="s">
        <v>284</v>
      </c>
      <c r="C55" s="16" t="s">
        <v>74</v>
      </c>
      <c r="D55" s="16" t="s">
        <v>154</v>
      </c>
      <c r="E55" s="16" t="s">
        <v>983</v>
      </c>
      <c r="F55" s="23">
        <v>46040.987299236112</v>
      </c>
      <c r="G55" s="16" t="s">
        <v>991</v>
      </c>
      <c r="H55" s="16" t="s">
        <v>57</v>
      </c>
      <c r="I55" s="16" t="s">
        <v>1098</v>
      </c>
      <c r="J55" s="21">
        <v>4</v>
      </c>
      <c r="K55" s="6" t="s">
        <v>989</v>
      </c>
    </row>
    <row r="56" spans="1:11" ht="15" customHeight="1">
      <c r="A56" s="5" t="s">
        <v>1099</v>
      </c>
      <c r="B56" s="16" t="s">
        <v>285</v>
      </c>
      <c r="C56" s="16" t="s">
        <v>74</v>
      </c>
      <c r="D56" s="16" t="s">
        <v>181</v>
      </c>
      <c r="E56" s="16" t="s">
        <v>1011</v>
      </c>
      <c r="F56" s="23">
        <v>46082.0674634838</v>
      </c>
      <c r="G56" s="16" t="s">
        <v>995</v>
      </c>
      <c r="H56" s="16" t="s">
        <v>57</v>
      </c>
      <c r="I56" s="16" t="s">
        <v>1100</v>
      </c>
      <c r="J56" s="21">
        <v>3</v>
      </c>
      <c r="K56" s="6" t="s">
        <v>989</v>
      </c>
    </row>
    <row r="57" spans="1:11" ht="15" customHeight="1">
      <c r="A57" s="5" t="s">
        <v>1101</v>
      </c>
      <c r="B57" s="16" t="s">
        <v>286</v>
      </c>
      <c r="C57" s="16" t="s">
        <v>74</v>
      </c>
      <c r="D57" s="16" t="s">
        <v>160</v>
      </c>
      <c r="E57" s="16" t="s">
        <v>994</v>
      </c>
      <c r="F57" s="23">
        <v>46023.201816157409</v>
      </c>
      <c r="G57" s="16" t="s">
        <v>984</v>
      </c>
      <c r="H57" s="16" t="s">
        <v>83</v>
      </c>
      <c r="I57" s="16" t="s">
        <v>1102</v>
      </c>
      <c r="J57" s="21">
        <v>3</v>
      </c>
      <c r="K57" s="6" t="s">
        <v>986</v>
      </c>
    </row>
    <row r="58" spans="1:11" ht="15" customHeight="1">
      <c r="A58" s="5" t="s">
        <v>1103</v>
      </c>
      <c r="B58" s="16" t="s">
        <v>287</v>
      </c>
      <c r="C58" s="16" t="s">
        <v>74</v>
      </c>
      <c r="D58" s="16" t="s">
        <v>206</v>
      </c>
      <c r="E58" s="16" t="s">
        <v>994</v>
      </c>
      <c r="F58" s="23">
        <v>46109.429214143522</v>
      </c>
      <c r="G58" s="16" t="s">
        <v>991</v>
      </c>
      <c r="H58" s="16" t="s">
        <v>86</v>
      </c>
      <c r="I58" s="16" t="s">
        <v>1104</v>
      </c>
      <c r="J58" s="21">
        <v>4</v>
      </c>
      <c r="K58" s="6" t="s">
        <v>1058</v>
      </c>
    </row>
    <row r="59" spans="1:11" ht="15" customHeight="1">
      <c r="A59" s="5" t="s">
        <v>1105</v>
      </c>
      <c r="B59" s="16" t="s">
        <v>288</v>
      </c>
      <c r="C59" s="16" t="s">
        <v>74</v>
      </c>
      <c r="D59" s="16" t="s">
        <v>163</v>
      </c>
      <c r="E59" s="16" t="s">
        <v>1011</v>
      </c>
      <c r="F59" s="23">
        <v>46166.064209421296</v>
      </c>
      <c r="G59" s="16" t="s">
        <v>991</v>
      </c>
      <c r="H59" s="16" t="s">
        <v>51</v>
      </c>
      <c r="I59" s="16" t="s">
        <v>1106</v>
      </c>
      <c r="J59" s="21">
        <v>4</v>
      </c>
      <c r="K59" s="6" t="s">
        <v>989</v>
      </c>
    </row>
    <row r="60" spans="1:11" ht="15" customHeight="1">
      <c r="A60" s="5" t="s">
        <v>1107</v>
      </c>
      <c r="B60" s="16" t="s">
        <v>289</v>
      </c>
      <c r="C60" s="16" t="s">
        <v>74</v>
      </c>
      <c r="D60" s="16" t="s">
        <v>178</v>
      </c>
      <c r="E60" s="16" t="s">
        <v>983</v>
      </c>
      <c r="F60" s="23">
        <v>46052.862621585649</v>
      </c>
      <c r="G60" s="16" t="s">
        <v>222</v>
      </c>
      <c r="H60" s="16"/>
      <c r="I60" s="16" t="s">
        <v>1108</v>
      </c>
      <c r="J60" s="21">
        <v>3</v>
      </c>
      <c r="K60" s="6" t="s">
        <v>981</v>
      </c>
    </row>
    <row r="61" spans="1:11" ht="15" customHeight="1">
      <c r="A61" s="5" t="s">
        <v>1109</v>
      </c>
      <c r="B61" s="16" t="s">
        <v>290</v>
      </c>
      <c r="C61" s="16" t="s">
        <v>74</v>
      </c>
      <c r="D61" s="16" t="s">
        <v>169</v>
      </c>
      <c r="E61" s="16" t="s">
        <v>1004</v>
      </c>
      <c r="F61" s="23">
        <v>45686.403365787039</v>
      </c>
      <c r="G61" s="16" t="s">
        <v>991</v>
      </c>
      <c r="H61" s="16" t="s">
        <v>77</v>
      </c>
      <c r="I61" s="16" t="s">
        <v>1110</v>
      </c>
      <c r="J61" s="21">
        <v>5</v>
      </c>
      <c r="K61" s="6"/>
    </row>
    <row r="62" spans="1:11" ht="15" customHeight="1">
      <c r="A62" s="5" t="s">
        <v>1111</v>
      </c>
      <c r="B62" s="16" t="s">
        <v>291</v>
      </c>
      <c r="C62" s="16" t="s">
        <v>78</v>
      </c>
      <c r="D62" s="16" t="s">
        <v>154</v>
      </c>
      <c r="E62" s="16" t="s">
        <v>979</v>
      </c>
      <c r="F62" s="23">
        <v>46076.366691597221</v>
      </c>
      <c r="G62" s="16" t="s">
        <v>995</v>
      </c>
      <c r="H62" s="16" t="s">
        <v>57</v>
      </c>
      <c r="I62" s="16" t="s">
        <v>1112</v>
      </c>
      <c r="J62" s="21">
        <v>1</v>
      </c>
      <c r="K62" s="6" t="s">
        <v>986</v>
      </c>
    </row>
    <row r="63" spans="1:11" ht="15" customHeight="1">
      <c r="A63" s="5" t="s">
        <v>1113</v>
      </c>
      <c r="B63" s="16" t="s">
        <v>292</v>
      </c>
      <c r="C63" s="16" t="s">
        <v>78</v>
      </c>
      <c r="D63" s="16" t="s">
        <v>173</v>
      </c>
      <c r="E63" s="16" t="s">
        <v>979</v>
      </c>
      <c r="F63" s="23">
        <v>46053.815133275464</v>
      </c>
      <c r="G63" s="16" t="s">
        <v>991</v>
      </c>
      <c r="H63" s="16" t="s">
        <v>67</v>
      </c>
      <c r="I63" s="16" t="s">
        <v>1114</v>
      </c>
      <c r="J63" s="21">
        <v>5</v>
      </c>
      <c r="K63" s="6" t="s">
        <v>986</v>
      </c>
    </row>
    <row r="64" spans="1:11" ht="15" customHeight="1">
      <c r="A64" s="5" t="s">
        <v>1115</v>
      </c>
      <c r="B64" s="16" t="s">
        <v>293</v>
      </c>
      <c r="C64" s="16" t="s">
        <v>78</v>
      </c>
      <c r="D64" s="16" t="s">
        <v>192</v>
      </c>
      <c r="E64" s="16" t="s">
        <v>1018</v>
      </c>
      <c r="F64" s="23">
        <v>45840.127300358799</v>
      </c>
      <c r="G64" s="16" t="s">
        <v>995</v>
      </c>
      <c r="H64" s="16" t="s">
        <v>86</v>
      </c>
      <c r="I64" s="16" t="s">
        <v>1116</v>
      </c>
      <c r="J64" s="21">
        <v>3</v>
      </c>
      <c r="K64" s="6"/>
    </row>
    <row r="65" spans="1:11" ht="15" customHeight="1">
      <c r="A65" s="5" t="s">
        <v>1117</v>
      </c>
      <c r="B65" s="16" t="s">
        <v>294</v>
      </c>
      <c r="C65" s="16" t="s">
        <v>78</v>
      </c>
      <c r="D65" s="16" t="s">
        <v>171</v>
      </c>
      <c r="E65" s="16" t="s">
        <v>1018</v>
      </c>
      <c r="F65" s="23">
        <v>45974.747373287035</v>
      </c>
      <c r="G65" s="16" t="s">
        <v>995</v>
      </c>
      <c r="H65" s="16" t="s">
        <v>57</v>
      </c>
      <c r="I65" s="16" t="s">
        <v>1118</v>
      </c>
      <c r="J65" s="21">
        <v>1</v>
      </c>
      <c r="K65" s="6" t="s">
        <v>986</v>
      </c>
    </row>
    <row r="66" spans="1:11" ht="15" customHeight="1">
      <c r="A66" s="5" t="s">
        <v>1119</v>
      </c>
      <c r="B66" s="16" t="s">
        <v>295</v>
      </c>
      <c r="C66" s="16" t="s">
        <v>78</v>
      </c>
      <c r="D66" s="16" t="s">
        <v>189</v>
      </c>
      <c r="E66" s="16" t="s">
        <v>979</v>
      </c>
      <c r="F66" s="23">
        <v>46050.715561840276</v>
      </c>
      <c r="G66" s="16" t="s">
        <v>991</v>
      </c>
      <c r="H66" s="16" t="s">
        <v>51</v>
      </c>
      <c r="I66" s="16" t="s">
        <v>1120</v>
      </c>
      <c r="J66" s="21">
        <v>4</v>
      </c>
      <c r="K66" s="6" t="s">
        <v>1058</v>
      </c>
    </row>
    <row r="67" spans="1:11" ht="15" customHeight="1">
      <c r="A67" s="5" t="s">
        <v>1121</v>
      </c>
      <c r="B67" s="16" t="s">
        <v>296</v>
      </c>
      <c r="C67" s="16" t="s">
        <v>78</v>
      </c>
      <c r="D67" s="16" t="s">
        <v>175</v>
      </c>
      <c r="E67" s="16" t="s">
        <v>1011</v>
      </c>
      <c r="F67" s="23">
        <v>46103.532046504632</v>
      </c>
      <c r="G67" s="16" t="s">
        <v>984</v>
      </c>
      <c r="H67" s="16" t="s">
        <v>77</v>
      </c>
      <c r="I67" s="16" t="s">
        <v>1122</v>
      </c>
      <c r="J67" s="21">
        <v>2</v>
      </c>
      <c r="K67" s="6"/>
    </row>
    <row r="68" spans="1:11" ht="15" customHeight="1">
      <c r="A68" s="5" t="s">
        <v>1123</v>
      </c>
      <c r="B68" s="16" t="s">
        <v>297</v>
      </c>
      <c r="C68" s="16" t="s">
        <v>78</v>
      </c>
      <c r="D68" s="16" t="s">
        <v>178</v>
      </c>
      <c r="E68" s="16" t="s">
        <v>1011</v>
      </c>
      <c r="F68" s="23">
        <v>45718.081553379627</v>
      </c>
      <c r="G68" s="16" t="s">
        <v>991</v>
      </c>
      <c r="H68" s="16" t="s">
        <v>67</v>
      </c>
      <c r="I68" s="16" t="s">
        <v>1124</v>
      </c>
      <c r="J68" s="21">
        <v>5</v>
      </c>
      <c r="K68" s="6" t="s">
        <v>989</v>
      </c>
    </row>
    <row r="69" spans="1:11" ht="15" customHeight="1">
      <c r="A69" s="5" t="s">
        <v>1125</v>
      </c>
      <c r="B69" s="16" t="s">
        <v>298</v>
      </c>
      <c r="C69" s="16" t="s">
        <v>81</v>
      </c>
      <c r="D69" s="16" t="s">
        <v>160</v>
      </c>
      <c r="E69" s="16" t="s">
        <v>979</v>
      </c>
      <c r="F69" s="23">
        <v>46164.834679097221</v>
      </c>
      <c r="G69" s="16" t="s">
        <v>995</v>
      </c>
      <c r="H69" s="16" t="s">
        <v>67</v>
      </c>
      <c r="I69" s="16" t="s">
        <v>1126</v>
      </c>
      <c r="J69" s="21">
        <v>2</v>
      </c>
      <c r="K69" s="6"/>
    </row>
    <row r="70" spans="1:11" ht="15" customHeight="1">
      <c r="A70" s="5" t="s">
        <v>1127</v>
      </c>
      <c r="B70" s="16" t="s">
        <v>299</v>
      </c>
      <c r="C70" s="16" t="s">
        <v>81</v>
      </c>
      <c r="D70" s="16" t="s">
        <v>175</v>
      </c>
      <c r="E70" s="16" t="s">
        <v>1004</v>
      </c>
      <c r="F70" s="23">
        <v>46156.033505023152</v>
      </c>
      <c r="G70" s="16" t="s">
        <v>222</v>
      </c>
      <c r="H70" s="16"/>
      <c r="I70" s="16" t="s">
        <v>1128</v>
      </c>
      <c r="J70" s="21">
        <v>3</v>
      </c>
      <c r="K70" s="6" t="s">
        <v>981</v>
      </c>
    </row>
    <row r="71" spans="1:11" ht="15" customHeight="1">
      <c r="A71" s="5" t="s">
        <v>1129</v>
      </c>
      <c r="B71" s="16" t="s">
        <v>300</v>
      </c>
      <c r="C71" s="16" t="s">
        <v>81</v>
      </c>
      <c r="D71" s="16" t="s">
        <v>144</v>
      </c>
      <c r="E71" s="16" t="s">
        <v>1018</v>
      </c>
      <c r="F71" s="23">
        <v>46016.732479421298</v>
      </c>
      <c r="G71" s="16" t="s">
        <v>995</v>
      </c>
      <c r="H71" s="16" t="s">
        <v>83</v>
      </c>
      <c r="I71" s="16" t="s">
        <v>1130</v>
      </c>
      <c r="J71" s="21">
        <v>3</v>
      </c>
      <c r="K71" s="6" t="s">
        <v>1058</v>
      </c>
    </row>
    <row r="72" spans="1:11" ht="15" customHeight="1">
      <c r="A72" s="5" t="s">
        <v>1131</v>
      </c>
      <c r="B72" s="16" t="s">
        <v>301</v>
      </c>
      <c r="C72" s="16" t="s">
        <v>81</v>
      </c>
      <c r="D72" s="16" t="s">
        <v>178</v>
      </c>
      <c r="E72" s="16" t="s">
        <v>983</v>
      </c>
      <c r="F72" s="23">
        <v>45981.00545636574</v>
      </c>
      <c r="G72" s="16" t="s">
        <v>222</v>
      </c>
      <c r="H72" s="16"/>
      <c r="I72" s="16" t="s">
        <v>1132</v>
      </c>
      <c r="J72" s="21">
        <v>2</v>
      </c>
      <c r="K72" s="6" t="s">
        <v>981</v>
      </c>
    </row>
    <row r="73" spans="1:11" ht="15" customHeight="1">
      <c r="A73" s="5" t="s">
        <v>1133</v>
      </c>
      <c r="B73" s="16" t="s">
        <v>302</v>
      </c>
      <c r="C73" s="16" t="s">
        <v>81</v>
      </c>
      <c r="D73" s="16" t="s">
        <v>154</v>
      </c>
      <c r="E73" s="16" t="s">
        <v>1018</v>
      </c>
      <c r="F73" s="23">
        <v>45841.171703877313</v>
      </c>
      <c r="G73" s="16" t="s">
        <v>991</v>
      </c>
      <c r="H73" s="16" t="s">
        <v>77</v>
      </c>
      <c r="I73" s="16" t="s">
        <v>1134</v>
      </c>
      <c r="J73" s="21">
        <v>4</v>
      </c>
      <c r="K73" s="6"/>
    </row>
    <row r="74" spans="1:11" ht="15" customHeight="1">
      <c r="A74" s="5" t="s">
        <v>1135</v>
      </c>
      <c r="B74" s="16" t="s">
        <v>303</v>
      </c>
      <c r="C74" s="16" t="s">
        <v>81</v>
      </c>
      <c r="D74" s="16" t="s">
        <v>192</v>
      </c>
      <c r="E74" s="16" t="s">
        <v>994</v>
      </c>
      <c r="F74" s="23">
        <v>45994.628435543978</v>
      </c>
      <c r="G74" s="16" t="s">
        <v>222</v>
      </c>
      <c r="H74" s="16"/>
      <c r="I74" s="16" t="s">
        <v>1136</v>
      </c>
      <c r="J74" s="21">
        <v>3</v>
      </c>
      <c r="K74" s="6" t="s">
        <v>981</v>
      </c>
    </row>
    <row r="75" spans="1:11" ht="15" customHeight="1">
      <c r="A75" s="5" t="s">
        <v>1137</v>
      </c>
      <c r="B75" s="16" t="s">
        <v>304</v>
      </c>
      <c r="C75" s="16" t="s">
        <v>81</v>
      </c>
      <c r="D75" s="16" t="s">
        <v>202</v>
      </c>
      <c r="E75" s="16" t="s">
        <v>1011</v>
      </c>
      <c r="F75" s="23">
        <v>46092.110878622683</v>
      </c>
      <c r="G75" s="16" t="s">
        <v>222</v>
      </c>
      <c r="H75" s="16"/>
      <c r="I75" s="16" t="s">
        <v>1138</v>
      </c>
      <c r="J75" s="21">
        <v>1</v>
      </c>
      <c r="K75" s="6" t="s">
        <v>981</v>
      </c>
    </row>
    <row r="76" spans="1:11" ht="15" customHeight="1">
      <c r="A76" s="5" t="s">
        <v>1139</v>
      </c>
      <c r="B76" s="16" t="s">
        <v>305</v>
      </c>
      <c r="C76" s="16" t="s">
        <v>84</v>
      </c>
      <c r="D76" s="16" t="s">
        <v>178</v>
      </c>
      <c r="E76" s="16" t="s">
        <v>983</v>
      </c>
      <c r="F76" s="23">
        <v>46122.495472002316</v>
      </c>
      <c r="G76" s="16" t="s">
        <v>222</v>
      </c>
      <c r="H76" s="16"/>
      <c r="I76" s="16" t="s">
        <v>1140</v>
      </c>
      <c r="J76" s="21">
        <v>2</v>
      </c>
      <c r="K76" s="6" t="s">
        <v>981</v>
      </c>
    </row>
    <row r="77" spans="1:11" ht="15" customHeight="1">
      <c r="A77" s="5" t="s">
        <v>1141</v>
      </c>
      <c r="B77" s="16" t="s">
        <v>306</v>
      </c>
      <c r="C77" s="16" t="s">
        <v>84</v>
      </c>
      <c r="D77" s="16" t="s">
        <v>189</v>
      </c>
      <c r="E77" s="16" t="s">
        <v>1004</v>
      </c>
      <c r="F77" s="23">
        <v>45973.180792187501</v>
      </c>
      <c r="G77" s="16" t="s">
        <v>991</v>
      </c>
      <c r="H77" s="16" t="s">
        <v>77</v>
      </c>
      <c r="I77" s="16" t="s">
        <v>1142</v>
      </c>
      <c r="J77" s="21">
        <v>4</v>
      </c>
      <c r="K77" s="6"/>
    </row>
    <row r="78" spans="1:11" ht="15" customHeight="1">
      <c r="A78" s="5" t="s">
        <v>1143</v>
      </c>
      <c r="B78" s="16" t="s">
        <v>307</v>
      </c>
      <c r="C78" s="16" t="s">
        <v>84</v>
      </c>
      <c r="D78" s="16" t="s">
        <v>149</v>
      </c>
      <c r="E78" s="16" t="s">
        <v>1011</v>
      </c>
      <c r="F78" s="23">
        <v>46149.214622777778</v>
      </c>
      <c r="G78" s="16" t="s">
        <v>991</v>
      </c>
      <c r="H78" s="16" t="s">
        <v>57</v>
      </c>
      <c r="I78" s="16" t="s">
        <v>1144</v>
      </c>
      <c r="J78" s="21">
        <v>4</v>
      </c>
      <c r="K78" s="6"/>
    </row>
    <row r="79" spans="1:11" ht="15" customHeight="1">
      <c r="A79" s="5" t="s">
        <v>1145</v>
      </c>
      <c r="B79" s="16" t="s">
        <v>308</v>
      </c>
      <c r="C79" s="16" t="s">
        <v>84</v>
      </c>
      <c r="D79" s="16" t="s">
        <v>163</v>
      </c>
      <c r="E79" s="16" t="s">
        <v>1018</v>
      </c>
      <c r="F79" s="23">
        <v>46175.852721203701</v>
      </c>
      <c r="G79" s="16" t="s">
        <v>991</v>
      </c>
      <c r="H79" s="16" t="s">
        <v>83</v>
      </c>
      <c r="I79" s="16" t="s">
        <v>1146</v>
      </c>
      <c r="J79" s="21">
        <v>5</v>
      </c>
      <c r="K79" s="6" t="s">
        <v>1058</v>
      </c>
    </row>
    <row r="80" spans="1:11" ht="15" customHeight="1">
      <c r="A80" s="5" t="s">
        <v>1147</v>
      </c>
      <c r="B80" s="16" t="s">
        <v>309</v>
      </c>
      <c r="C80" s="16" t="s">
        <v>84</v>
      </c>
      <c r="D80" s="16" t="s">
        <v>186</v>
      </c>
      <c r="E80" s="16" t="s">
        <v>1011</v>
      </c>
      <c r="F80" s="23">
        <v>46143.182671620372</v>
      </c>
      <c r="G80" s="16" t="s">
        <v>991</v>
      </c>
      <c r="H80" s="16" t="s">
        <v>77</v>
      </c>
      <c r="I80" s="16" t="s">
        <v>1148</v>
      </c>
      <c r="J80" s="21">
        <v>4</v>
      </c>
      <c r="K80" s="6"/>
    </row>
    <row r="81" spans="1:11" ht="15" customHeight="1">
      <c r="A81" s="5" t="s">
        <v>1149</v>
      </c>
      <c r="B81" s="16" t="s">
        <v>310</v>
      </c>
      <c r="C81" s="16" t="s">
        <v>84</v>
      </c>
      <c r="D81" s="16" t="s">
        <v>197</v>
      </c>
      <c r="E81" s="16" t="s">
        <v>1004</v>
      </c>
      <c r="F81" s="23">
        <v>46172.398061238426</v>
      </c>
      <c r="G81" s="16" t="s">
        <v>991</v>
      </c>
      <c r="H81" s="16" t="s">
        <v>57</v>
      </c>
      <c r="I81" s="16" t="s">
        <v>1150</v>
      </c>
      <c r="J81" s="21">
        <v>4</v>
      </c>
      <c r="K81" s="6" t="s">
        <v>1058</v>
      </c>
    </row>
    <row r="82" spans="1:11" ht="15" customHeight="1">
      <c r="A82" s="5" t="s">
        <v>1151</v>
      </c>
      <c r="B82" s="16" t="s">
        <v>311</v>
      </c>
      <c r="C82" s="16" t="s">
        <v>84</v>
      </c>
      <c r="D82" s="16" t="s">
        <v>160</v>
      </c>
      <c r="E82" s="16" t="s">
        <v>1004</v>
      </c>
      <c r="F82" s="23">
        <v>46103.643530543981</v>
      </c>
      <c r="G82" s="16" t="s">
        <v>222</v>
      </c>
      <c r="H82" s="16"/>
      <c r="I82" s="16" t="s">
        <v>1152</v>
      </c>
      <c r="J82" s="21">
        <v>2</v>
      </c>
      <c r="K82" s="6" t="s">
        <v>981</v>
      </c>
    </row>
    <row r="83" spans="1:11" ht="15" customHeight="1">
      <c r="A83" s="5" t="s">
        <v>1153</v>
      </c>
      <c r="B83" s="16" t="s">
        <v>312</v>
      </c>
      <c r="C83" s="16" t="s">
        <v>84</v>
      </c>
      <c r="D83" s="16" t="s">
        <v>183</v>
      </c>
      <c r="E83" s="16" t="s">
        <v>1011</v>
      </c>
      <c r="F83" s="23">
        <v>45734.040622696761</v>
      </c>
      <c r="G83" s="16" t="s">
        <v>991</v>
      </c>
      <c r="H83" s="16" t="s">
        <v>67</v>
      </c>
      <c r="I83" s="16" t="s">
        <v>1154</v>
      </c>
      <c r="J83" s="21">
        <v>5</v>
      </c>
      <c r="K83" s="6" t="s">
        <v>989</v>
      </c>
    </row>
    <row r="84" spans="1:11" ht="15" customHeight="1">
      <c r="A84" s="5" t="s">
        <v>1155</v>
      </c>
      <c r="B84" s="16" t="s">
        <v>313</v>
      </c>
      <c r="C84" s="16" t="s">
        <v>87</v>
      </c>
      <c r="D84" s="16" t="s">
        <v>154</v>
      </c>
      <c r="E84" s="16" t="s">
        <v>1018</v>
      </c>
      <c r="F84" s="23">
        <v>46063.063610370373</v>
      </c>
      <c r="G84" s="16" t="s">
        <v>995</v>
      </c>
      <c r="H84" s="16" t="s">
        <v>51</v>
      </c>
      <c r="I84" s="16" t="s">
        <v>1156</v>
      </c>
      <c r="J84" s="21">
        <v>3</v>
      </c>
      <c r="K84" s="6"/>
    </row>
    <row r="85" spans="1:11" ht="15" customHeight="1">
      <c r="A85" s="5" t="s">
        <v>1157</v>
      </c>
      <c r="B85" s="16" t="s">
        <v>314</v>
      </c>
      <c r="C85" s="16" t="s">
        <v>87</v>
      </c>
      <c r="D85" s="16" t="s">
        <v>175</v>
      </c>
      <c r="E85" s="16" t="s">
        <v>994</v>
      </c>
      <c r="F85" s="23">
        <v>45767.795364224534</v>
      </c>
      <c r="G85" s="16" t="s">
        <v>222</v>
      </c>
      <c r="H85" s="16"/>
      <c r="I85" s="16" t="s">
        <v>1158</v>
      </c>
      <c r="J85" s="21">
        <v>2</v>
      </c>
      <c r="K85" s="6" t="s">
        <v>981</v>
      </c>
    </row>
    <row r="86" spans="1:11" ht="15" customHeight="1">
      <c r="A86" s="5" t="s">
        <v>1159</v>
      </c>
      <c r="B86" s="16" t="s">
        <v>315</v>
      </c>
      <c r="C86" s="16" t="s">
        <v>87</v>
      </c>
      <c r="D86" s="16" t="s">
        <v>192</v>
      </c>
      <c r="E86" s="16" t="s">
        <v>979</v>
      </c>
      <c r="F86" s="23">
        <v>45988.929403206021</v>
      </c>
      <c r="G86" s="16" t="s">
        <v>222</v>
      </c>
      <c r="H86" s="16"/>
      <c r="I86" s="16" t="s">
        <v>1160</v>
      </c>
      <c r="J86" s="21">
        <v>3</v>
      </c>
      <c r="K86" s="6" t="s">
        <v>981</v>
      </c>
    </row>
    <row r="87" spans="1:11" ht="15" customHeight="1">
      <c r="A87" s="5" t="s">
        <v>1161</v>
      </c>
      <c r="B87" s="16" t="s">
        <v>316</v>
      </c>
      <c r="C87" s="16" t="s">
        <v>87</v>
      </c>
      <c r="D87" s="16" t="s">
        <v>160</v>
      </c>
      <c r="E87" s="16" t="s">
        <v>979</v>
      </c>
      <c r="F87" s="23">
        <v>46143.720567615739</v>
      </c>
      <c r="G87" s="16" t="s">
        <v>222</v>
      </c>
      <c r="H87" s="16"/>
      <c r="I87" s="16" t="s">
        <v>1162</v>
      </c>
      <c r="J87" s="21">
        <v>3</v>
      </c>
      <c r="K87" s="6" t="s">
        <v>981</v>
      </c>
    </row>
    <row r="88" spans="1:11" ht="15" customHeight="1">
      <c r="A88" s="5" t="s">
        <v>1163</v>
      </c>
      <c r="B88" s="16" t="s">
        <v>317</v>
      </c>
      <c r="C88" s="16" t="s">
        <v>87</v>
      </c>
      <c r="D88" s="16" t="s">
        <v>171</v>
      </c>
      <c r="E88" s="16" t="s">
        <v>979</v>
      </c>
      <c r="F88" s="23">
        <v>45746.189814502315</v>
      </c>
      <c r="G88" s="16" t="s">
        <v>222</v>
      </c>
      <c r="H88" s="16"/>
      <c r="I88" s="16" t="s">
        <v>1164</v>
      </c>
      <c r="J88" s="21">
        <v>2</v>
      </c>
      <c r="K88" s="6" t="s">
        <v>981</v>
      </c>
    </row>
    <row r="89" spans="1:11" ht="15" customHeight="1">
      <c r="A89" s="5" t="s">
        <v>1165</v>
      </c>
      <c r="B89" s="16" t="s">
        <v>318</v>
      </c>
      <c r="C89" s="16" t="s">
        <v>87</v>
      </c>
      <c r="D89" s="16" t="s">
        <v>178</v>
      </c>
      <c r="E89" s="16" t="s">
        <v>983</v>
      </c>
      <c r="F89" s="23">
        <v>46174.570710335647</v>
      </c>
      <c r="G89" s="16" t="s">
        <v>984</v>
      </c>
      <c r="H89" s="16" t="s">
        <v>67</v>
      </c>
      <c r="I89" s="16" t="s">
        <v>1166</v>
      </c>
      <c r="J89" s="21">
        <v>2</v>
      </c>
      <c r="K89" s="6" t="s">
        <v>989</v>
      </c>
    </row>
    <row r="90" spans="1:11" ht="15" customHeight="1">
      <c r="A90" s="5" t="s">
        <v>1167</v>
      </c>
      <c r="B90" s="16" t="s">
        <v>319</v>
      </c>
      <c r="C90" s="16" t="s">
        <v>87</v>
      </c>
      <c r="D90" s="16" t="s">
        <v>189</v>
      </c>
      <c r="E90" s="16" t="s">
        <v>983</v>
      </c>
      <c r="F90" s="23">
        <v>46077.910417187501</v>
      </c>
      <c r="G90" s="16" t="s">
        <v>995</v>
      </c>
      <c r="H90" s="16" t="s">
        <v>83</v>
      </c>
      <c r="I90" s="16" t="s">
        <v>1168</v>
      </c>
      <c r="J90" s="21">
        <v>2</v>
      </c>
      <c r="K90" s="6" t="s">
        <v>1058</v>
      </c>
    </row>
    <row r="91" spans="1:11" ht="15" customHeight="1">
      <c r="A91" s="5" t="s">
        <v>1169</v>
      </c>
      <c r="B91" s="16" t="s">
        <v>320</v>
      </c>
      <c r="C91" s="16" t="s">
        <v>87</v>
      </c>
      <c r="D91" s="16" t="s">
        <v>197</v>
      </c>
      <c r="E91" s="16" t="s">
        <v>979</v>
      </c>
      <c r="F91" s="23">
        <v>45799.89294996528</v>
      </c>
      <c r="G91" s="16" t="s">
        <v>995</v>
      </c>
      <c r="H91" s="16" t="s">
        <v>83</v>
      </c>
      <c r="I91" s="16" t="s">
        <v>1170</v>
      </c>
      <c r="J91" s="21">
        <v>1</v>
      </c>
      <c r="K91" s="6"/>
    </row>
    <row r="92" spans="1:11" ht="15" customHeight="1">
      <c r="A92" s="5" t="s">
        <v>1171</v>
      </c>
      <c r="B92" s="16" t="s">
        <v>321</v>
      </c>
      <c r="C92" s="16" t="s">
        <v>89</v>
      </c>
      <c r="D92" s="16" t="s">
        <v>175</v>
      </c>
      <c r="E92" s="16" t="s">
        <v>979</v>
      </c>
      <c r="F92" s="23">
        <v>46169.751590729167</v>
      </c>
      <c r="G92" s="16" t="s">
        <v>222</v>
      </c>
      <c r="H92" s="16"/>
      <c r="I92" s="16" t="s">
        <v>1172</v>
      </c>
      <c r="J92" s="21">
        <v>1</v>
      </c>
      <c r="K92" s="6" t="s">
        <v>981</v>
      </c>
    </row>
    <row r="93" spans="1:11" ht="15" customHeight="1">
      <c r="A93" s="5" t="s">
        <v>1173</v>
      </c>
      <c r="B93" s="16" t="s">
        <v>322</v>
      </c>
      <c r="C93" s="16" t="s">
        <v>89</v>
      </c>
      <c r="D93" s="16" t="s">
        <v>154</v>
      </c>
      <c r="E93" s="16" t="s">
        <v>1018</v>
      </c>
      <c r="F93" s="23">
        <v>46110.062214178244</v>
      </c>
      <c r="G93" s="16" t="s">
        <v>991</v>
      </c>
      <c r="H93" s="16" t="s">
        <v>86</v>
      </c>
      <c r="I93" s="16" t="s">
        <v>1174</v>
      </c>
      <c r="J93" s="21">
        <v>4</v>
      </c>
      <c r="K93" s="6"/>
    </row>
    <row r="94" spans="1:11" ht="15" customHeight="1">
      <c r="A94" s="5" t="s">
        <v>1175</v>
      </c>
      <c r="B94" s="16" t="s">
        <v>323</v>
      </c>
      <c r="C94" s="16" t="s">
        <v>89</v>
      </c>
      <c r="D94" s="16" t="s">
        <v>171</v>
      </c>
      <c r="E94" s="16" t="s">
        <v>1018</v>
      </c>
      <c r="F94" s="23">
        <v>46132.837784699077</v>
      </c>
      <c r="G94" s="16" t="s">
        <v>991</v>
      </c>
      <c r="H94" s="16" t="s">
        <v>77</v>
      </c>
      <c r="I94" s="16" t="s">
        <v>1176</v>
      </c>
      <c r="J94" s="21">
        <v>4</v>
      </c>
      <c r="K94" s="6"/>
    </row>
    <row r="95" spans="1:11" ht="15" customHeight="1">
      <c r="A95" s="5" t="s">
        <v>1177</v>
      </c>
      <c r="B95" s="16" t="s">
        <v>324</v>
      </c>
      <c r="C95" s="16" t="s">
        <v>89</v>
      </c>
      <c r="D95" s="16" t="s">
        <v>192</v>
      </c>
      <c r="E95" s="16" t="s">
        <v>1011</v>
      </c>
      <c r="F95" s="23">
        <v>45746.313450590278</v>
      </c>
      <c r="G95" s="16" t="s">
        <v>991</v>
      </c>
      <c r="H95" s="16" t="s">
        <v>86</v>
      </c>
      <c r="I95" s="16" t="s">
        <v>1178</v>
      </c>
      <c r="J95" s="21">
        <v>5</v>
      </c>
      <c r="K95" s="6" t="s">
        <v>1058</v>
      </c>
    </row>
    <row r="96" spans="1:11" ht="15" customHeight="1">
      <c r="A96" s="5" t="s">
        <v>1179</v>
      </c>
      <c r="B96" s="16" t="s">
        <v>325</v>
      </c>
      <c r="C96" s="16" t="s">
        <v>89</v>
      </c>
      <c r="D96" s="16" t="s">
        <v>173</v>
      </c>
      <c r="E96" s="16" t="s">
        <v>979</v>
      </c>
      <c r="F96" s="23">
        <v>46135.152090046293</v>
      </c>
      <c r="G96" s="16" t="s">
        <v>222</v>
      </c>
      <c r="H96" s="16"/>
      <c r="I96" s="16" t="s">
        <v>1180</v>
      </c>
      <c r="J96" s="21">
        <v>2</v>
      </c>
      <c r="K96" s="6" t="s">
        <v>981</v>
      </c>
    </row>
    <row r="97" spans="1:11" ht="15" customHeight="1">
      <c r="A97" s="5" t="s">
        <v>1181</v>
      </c>
      <c r="B97" s="16" t="s">
        <v>326</v>
      </c>
      <c r="C97" s="16" t="s">
        <v>89</v>
      </c>
      <c r="D97" s="16" t="s">
        <v>160</v>
      </c>
      <c r="E97" s="16" t="s">
        <v>979</v>
      </c>
      <c r="F97" s="23">
        <v>46174.543927141203</v>
      </c>
      <c r="G97" s="16" t="s">
        <v>991</v>
      </c>
      <c r="H97" s="16" t="s">
        <v>51</v>
      </c>
      <c r="I97" s="16" t="s">
        <v>1182</v>
      </c>
      <c r="J97" s="21">
        <v>5</v>
      </c>
      <c r="K97" s="6" t="s">
        <v>986</v>
      </c>
    </row>
    <row r="98" spans="1:11" ht="15" customHeight="1">
      <c r="A98" s="5" t="s">
        <v>1183</v>
      </c>
      <c r="B98" s="16" t="s">
        <v>327</v>
      </c>
      <c r="C98" s="16" t="s">
        <v>89</v>
      </c>
      <c r="D98" s="16" t="s">
        <v>163</v>
      </c>
      <c r="E98" s="16" t="s">
        <v>1004</v>
      </c>
      <c r="F98" s="23">
        <v>45794.727258877312</v>
      </c>
      <c r="G98" s="16" t="s">
        <v>222</v>
      </c>
      <c r="H98" s="16"/>
      <c r="I98" s="16" t="s">
        <v>1184</v>
      </c>
      <c r="J98" s="21">
        <v>1</v>
      </c>
      <c r="K98" s="6" t="s">
        <v>981</v>
      </c>
    </row>
    <row r="99" spans="1:11" ht="15" customHeight="1">
      <c r="A99" s="5" t="s">
        <v>1185</v>
      </c>
      <c r="B99" s="16" t="s">
        <v>328</v>
      </c>
      <c r="C99" s="16" t="s">
        <v>89</v>
      </c>
      <c r="D99" s="16" t="s">
        <v>178</v>
      </c>
      <c r="E99" s="16" t="s">
        <v>994</v>
      </c>
      <c r="F99" s="23">
        <v>46012.707936817133</v>
      </c>
      <c r="G99" s="16" t="s">
        <v>984</v>
      </c>
      <c r="H99" s="16" t="s">
        <v>83</v>
      </c>
      <c r="I99" s="16" t="s">
        <v>1186</v>
      </c>
      <c r="J99" s="21">
        <v>1</v>
      </c>
      <c r="K99" s="6" t="s">
        <v>1058</v>
      </c>
    </row>
    <row r="100" spans="1:11" ht="15" customHeight="1">
      <c r="A100" s="5" t="s">
        <v>1187</v>
      </c>
      <c r="B100" s="16" t="s">
        <v>329</v>
      </c>
      <c r="C100" s="16" t="s">
        <v>93</v>
      </c>
      <c r="D100" s="16" t="s">
        <v>149</v>
      </c>
      <c r="E100" s="16" t="s">
        <v>1004</v>
      </c>
      <c r="F100" s="23">
        <v>46147.784142592594</v>
      </c>
      <c r="G100" s="16" t="s">
        <v>984</v>
      </c>
      <c r="H100" s="16" t="s">
        <v>83</v>
      </c>
      <c r="I100" s="16" t="s">
        <v>1188</v>
      </c>
      <c r="J100" s="21">
        <v>2</v>
      </c>
      <c r="K100" s="6" t="s">
        <v>986</v>
      </c>
    </row>
    <row r="101" spans="1:11" ht="15" customHeight="1">
      <c r="A101" s="5" t="s">
        <v>1189</v>
      </c>
      <c r="B101" s="16" t="s">
        <v>330</v>
      </c>
      <c r="C101" s="16" t="s">
        <v>93</v>
      </c>
      <c r="D101" s="16" t="s">
        <v>175</v>
      </c>
      <c r="E101" s="16" t="s">
        <v>983</v>
      </c>
      <c r="F101" s="23">
        <v>46016.825966828706</v>
      </c>
      <c r="G101" s="16" t="s">
        <v>984</v>
      </c>
      <c r="H101" s="16" t="s">
        <v>51</v>
      </c>
      <c r="I101" s="16" t="s">
        <v>1190</v>
      </c>
      <c r="J101" s="21">
        <v>2</v>
      </c>
      <c r="K101" s="6"/>
    </row>
    <row r="102" spans="1:11" ht="15" customHeight="1">
      <c r="A102" s="5" t="s">
        <v>1191</v>
      </c>
      <c r="B102" s="16" t="s">
        <v>331</v>
      </c>
      <c r="C102" s="16" t="s">
        <v>93</v>
      </c>
      <c r="D102" s="16" t="s">
        <v>160</v>
      </c>
      <c r="E102" s="16" t="s">
        <v>979</v>
      </c>
      <c r="F102" s="23">
        <v>45747.387380324071</v>
      </c>
      <c r="G102" s="16" t="s">
        <v>991</v>
      </c>
      <c r="H102" s="16" t="s">
        <v>86</v>
      </c>
      <c r="I102" s="16" t="s">
        <v>1192</v>
      </c>
      <c r="J102" s="21">
        <v>4</v>
      </c>
      <c r="K102" s="6" t="s">
        <v>986</v>
      </c>
    </row>
    <row r="103" spans="1:11" ht="15" customHeight="1">
      <c r="A103" s="5" t="s">
        <v>1193</v>
      </c>
      <c r="B103" s="16" t="s">
        <v>332</v>
      </c>
      <c r="C103" s="16" t="s">
        <v>93</v>
      </c>
      <c r="D103" s="16" t="s">
        <v>189</v>
      </c>
      <c r="E103" s="16" t="s">
        <v>1011</v>
      </c>
      <c r="F103" s="23">
        <v>46146.702615856484</v>
      </c>
      <c r="G103" s="16" t="s">
        <v>991</v>
      </c>
      <c r="H103" s="16" t="s">
        <v>67</v>
      </c>
      <c r="I103" s="16" t="s">
        <v>1194</v>
      </c>
      <c r="J103" s="21">
        <v>5</v>
      </c>
      <c r="K103" s="6" t="s">
        <v>989</v>
      </c>
    </row>
    <row r="104" spans="1:11" ht="15" customHeight="1">
      <c r="A104" s="5" t="s">
        <v>1195</v>
      </c>
      <c r="B104" s="16" t="s">
        <v>333</v>
      </c>
      <c r="C104" s="16" t="s">
        <v>93</v>
      </c>
      <c r="D104" s="16" t="s">
        <v>197</v>
      </c>
      <c r="E104" s="16" t="s">
        <v>994</v>
      </c>
      <c r="F104" s="23">
        <v>46173.048054467596</v>
      </c>
      <c r="G104" s="16" t="s">
        <v>991</v>
      </c>
      <c r="H104" s="16" t="s">
        <v>51</v>
      </c>
      <c r="I104" s="16" t="s">
        <v>1196</v>
      </c>
      <c r="J104" s="21">
        <v>4</v>
      </c>
      <c r="K104" s="6"/>
    </row>
    <row r="105" spans="1:11" ht="15" customHeight="1">
      <c r="A105" s="5" t="s">
        <v>1197</v>
      </c>
      <c r="B105" s="16" t="s">
        <v>334</v>
      </c>
      <c r="C105" s="16" t="s">
        <v>93</v>
      </c>
      <c r="D105" s="16" t="s">
        <v>183</v>
      </c>
      <c r="E105" s="16" t="s">
        <v>1004</v>
      </c>
      <c r="F105" s="23">
        <v>45712.577081226853</v>
      </c>
      <c r="G105" s="16" t="s">
        <v>991</v>
      </c>
      <c r="H105" s="16" t="s">
        <v>67</v>
      </c>
      <c r="I105" s="16" t="s">
        <v>1198</v>
      </c>
      <c r="J105" s="21">
        <v>4</v>
      </c>
      <c r="K105" s="6"/>
    </row>
    <row r="106" spans="1:11" ht="15" customHeight="1">
      <c r="A106" s="5" t="s">
        <v>1199</v>
      </c>
      <c r="B106" s="16" t="s">
        <v>335</v>
      </c>
      <c r="C106" s="16" t="s">
        <v>95</v>
      </c>
      <c r="D106" s="16" t="s">
        <v>197</v>
      </c>
      <c r="E106" s="16" t="s">
        <v>979</v>
      </c>
      <c r="F106" s="23">
        <v>45684.710535752318</v>
      </c>
      <c r="G106" s="16" t="s">
        <v>984</v>
      </c>
      <c r="H106" s="16" t="s">
        <v>67</v>
      </c>
      <c r="I106" s="16" t="s">
        <v>1200</v>
      </c>
      <c r="J106" s="21">
        <v>2</v>
      </c>
      <c r="K106" s="6" t="s">
        <v>1058</v>
      </c>
    </row>
    <row r="107" spans="1:11" ht="15" customHeight="1">
      <c r="A107" s="5" t="s">
        <v>1201</v>
      </c>
      <c r="B107" s="16" t="s">
        <v>336</v>
      </c>
      <c r="C107" s="16" t="s">
        <v>95</v>
      </c>
      <c r="D107" s="16" t="s">
        <v>189</v>
      </c>
      <c r="E107" s="16" t="s">
        <v>1004</v>
      </c>
      <c r="F107" s="23">
        <v>45987.479717326387</v>
      </c>
      <c r="G107" s="16" t="s">
        <v>991</v>
      </c>
      <c r="H107" s="16" t="s">
        <v>51</v>
      </c>
      <c r="I107" s="16" t="s">
        <v>1202</v>
      </c>
      <c r="J107" s="21">
        <v>5</v>
      </c>
      <c r="K107" s="6" t="s">
        <v>986</v>
      </c>
    </row>
    <row r="108" spans="1:11" ht="15" customHeight="1">
      <c r="A108" s="5" t="s">
        <v>1203</v>
      </c>
      <c r="B108" s="16" t="s">
        <v>337</v>
      </c>
      <c r="C108" s="16" t="s">
        <v>95</v>
      </c>
      <c r="D108" s="16" t="s">
        <v>149</v>
      </c>
      <c r="E108" s="16" t="s">
        <v>1018</v>
      </c>
      <c r="F108" s="23">
        <v>46008.389613877313</v>
      </c>
      <c r="G108" s="16" t="s">
        <v>222</v>
      </c>
      <c r="H108" s="16"/>
      <c r="I108" s="16" t="s">
        <v>1204</v>
      </c>
      <c r="J108" s="21">
        <v>3</v>
      </c>
      <c r="K108" s="6" t="s">
        <v>981</v>
      </c>
    </row>
    <row r="109" spans="1:11" ht="15" customHeight="1">
      <c r="A109" s="5" t="s">
        <v>1205</v>
      </c>
      <c r="B109" s="16" t="s">
        <v>338</v>
      </c>
      <c r="C109" s="16" t="s">
        <v>95</v>
      </c>
      <c r="D109" s="16" t="s">
        <v>154</v>
      </c>
      <c r="E109" s="16" t="s">
        <v>1004</v>
      </c>
      <c r="F109" s="23">
        <v>46038.902703067128</v>
      </c>
      <c r="G109" s="16" t="s">
        <v>995</v>
      </c>
      <c r="H109" s="16" t="s">
        <v>57</v>
      </c>
      <c r="I109" s="16" t="s">
        <v>1206</v>
      </c>
      <c r="J109" s="21">
        <v>1</v>
      </c>
      <c r="K109" s="6" t="s">
        <v>986</v>
      </c>
    </row>
    <row r="110" spans="1:11" ht="15" customHeight="1">
      <c r="A110" s="5" t="s">
        <v>1207</v>
      </c>
      <c r="B110" s="16" t="s">
        <v>339</v>
      </c>
      <c r="C110" s="16" t="s">
        <v>95</v>
      </c>
      <c r="D110" s="16" t="s">
        <v>151</v>
      </c>
      <c r="E110" s="16" t="s">
        <v>1018</v>
      </c>
      <c r="F110" s="23">
        <v>46047.885768298613</v>
      </c>
      <c r="G110" s="16" t="s">
        <v>984</v>
      </c>
      <c r="H110" s="16" t="s">
        <v>51</v>
      </c>
      <c r="I110" s="16" t="s">
        <v>1208</v>
      </c>
      <c r="J110" s="21">
        <v>1</v>
      </c>
      <c r="K110" s="6"/>
    </row>
    <row r="111" spans="1:11" ht="15" customHeight="1">
      <c r="A111" s="5" t="s">
        <v>1209</v>
      </c>
      <c r="B111" s="16" t="s">
        <v>340</v>
      </c>
      <c r="C111" s="16" t="s">
        <v>95</v>
      </c>
      <c r="D111" s="16" t="s">
        <v>163</v>
      </c>
      <c r="E111" s="16" t="s">
        <v>979</v>
      </c>
      <c r="F111" s="23">
        <v>46082.431080034723</v>
      </c>
      <c r="G111" s="16" t="s">
        <v>222</v>
      </c>
      <c r="H111" s="16"/>
      <c r="I111" s="16" t="s">
        <v>1210</v>
      </c>
      <c r="J111" s="21">
        <v>3</v>
      </c>
      <c r="K111" s="6" t="s">
        <v>981</v>
      </c>
    </row>
    <row r="112" spans="1:11" ht="15" customHeight="1">
      <c r="A112" s="5" t="s">
        <v>1211</v>
      </c>
      <c r="B112" s="16" t="s">
        <v>341</v>
      </c>
      <c r="C112" s="16" t="s">
        <v>95</v>
      </c>
      <c r="D112" s="16" t="s">
        <v>160</v>
      </c>
      <c r="E112" s="16" t="s">
        <v>1011</v>
      </c>
      <c r="F112" s="23">
        <v>46176.42696167824</v>
      </c>
      <c r="G112" s="16" t="s">
        <v>991</v>
      </c>
      <c r="H112" s="16" t="s">
        <v>57</v>
      </c>
      <c r="I112" s="16" t="s">
        <v>1212</v>
      </c>
      <c r="J112" s="21">
        <v>5</v>
      </c>
      <c r="K112" s="6"/>
    </row>
    <row r="113" spans="1:11" ht="15" customHeight="1">
      <c r="A113" s="5" t="s">
        <v>1213</v>
      </c>
      <c r="B113" s="16" t="s">
        <v>342</v>
      </c>
      <c r="C113" s="16" t="s">
        <v>95</v>
      </c>
      <c r="D113" s="16" t="s">
        <v>175</v>
      </c>
      <c r="E113" s="16" t="s">
        <v>979</v>
      </c>
      <c r="F113" s="23">
        <v>46144.795950995373</v>
      </c>
      <c r="G113" s="16" t="s">
        <v>991</v>
      </c>
      <c r="H113" s="16" t="s">
        <v>51</v>
      </c>
      <c r="I113" s="16" t="s">
        <v>1214</v>
      </c>
      <c r="J113" s="21">
        <v>4</v>
      </c>
      <c r="K113" s="6"/>
    </row>
    <row r="114" spans="1:11" ht="15" customHeight="1">
      <c r="A114" s="5" t="s">
        <v>1215</v>
      </c>
      <c r="B114" s="16" t="s">
        <v>343</v>
      </c>
      <c r="C114" s="16" t="s">
        <v>98</v>
      </c>
      <c r="D114" s="16" t="s">
        <v>154</v>
      </c>
      <c r="E114" s="16" t="s">
        <v>983</v>
      </c>
      <c r="F114" s="23">
        <v>46137.801693298614</v>
      </c>
      <c r="G114" s="16" t="s">
        <v>984</v>
      </c>
      <c r="H114" s="16" t="s">
        <v>51</v>
      </c>
      <c r="I114" s="16" t="s">
        <v>1216</v>
      </c>
      <c r="J114" s="21">
        <v>2</v>
      </c>
      <c r="K114" s="6" t="s">
        <v>989</v>
      </c>
    </row>
    <row r="115" spans="1:11" ht="15" customHeight="1">
      <c r="A115" s="5" t="s">
        <v>1217</v>
      </c>
      <c r="B115" s="16" t="s">
        <v>344</v>
      </c>
      <c r="C115" s="16" t="s">
        <v>98</v>
      </c>
      <c r="D115" s="16" t="s">
        <v>160</v>
      </c>
      <c r="E115" s="16" t="s">
        <v>1004</v>
      </c>
      <c r="F115" s="23">
        <v>45996.335621527774</v>
      </c>
      <c r="G115" s="16" t="s">
        <v>991</v>
      </c>
      <c r="H115" s="16" t="s">
        <v>51</v>
      </c>
      <c r="I115" s="16" t="s">
        <v>1218</v>
      </c>
      <c r="J115" s="21">
        <v>5</v>
      </c>
      <c r="K115" s="6" t="s">
        <v>986</v>
      </c>
    </row>
    <row r="116" spans="1:11" ht="15" customHeight="1">
      <c r="A116" s="5" t="s">
        <v>1219</v>
      </c>
      <c r="B116" s="16" t="s">
        <v>345</v>
      </c>
      <c r="C116" s="16" t="s">
        <v>98</v>
      </c>
      <c r="D116" s="16" t="s">
        <v>163</v>
      </c>
      <c r="E116" s="16" t="s">
        <v>1018</v>
      </c>
      <c r="F116" s="23">
        <v>46039.680909328701</v>
      </c>
      <c r="G116" s="16" t="s">
        <v>995</v>
      </c>
      <c r="H116" s="16" t="s">
        <v>67</v>
      </c>
      <c r="I116" s="16" t="s">
        <v>1220</v>
      </c>
      <c r="J116" s="21">
        <v>2</v>
      </c>
      <c r="K116" s="6"/>
    </row>
    <row r="117" spans="1:11" ht="15" customHeight="1">
      <c r="A117" s="5" t="s">
        <v>1221</v>
      </c>
      <c r="B117" s="16" t="s">
        <v>346</v>
      </c>
      <c r="C117" s="16" t="s">
        <v>98</v>
      </c>
      <c r="D117" s="16" t="s">
        <v>175</v>
      </c>
      <c r="E117" s="16" t="s">
        <v>1018</v>
      </c>
      <c r="F117" s="23">
        <v>46078.014524930557</v>
      </c>
      <c r="G117" s="16" t="s">
        <v>995</v>
      </c>
      <c r="H117" s="16" t="s">
        <v>67</v>
      </c>
      <c r="I117" s="16" t="s">
        <v>1222</v>
      </c>
      <c r="J117" s="21">
        <v>1</v>
      </c>
      <c r="K117" s="6"/>
    </row>
    <row r="118" spans="1:11" ht="15" customHeight="1">
      <c r="A118" s="5" t="s">
        <v>1223</v>
      </c>
      <c r="B118" s="16" t="s">
        <v>347</v>
      </c>
      <c r="C118" s="16" t="s">
        <v>98</v>
      </c>
      <c r="D118" s="16" t="s">
        <v>171</v>
      </c>
      <c r="E118" s="16" t="s">
        <v>979</v>
      </c>
      <c r="F118" s="23">
        <v>46148.846854317133</v>
      </c>
      <c r="G118" s="16" t="s">
        <v>984</v>
      </c>
      <c r="H118" s="16" t="s">
        <v>51</v>
      </c>
      <c r="I118" s="16" t="s">
        <v>1224</v>
      </c>
      <c r="J118" s="21">
        <v>2</v>
      </c>
      <c r="K118" s="6" t="s">
        <v>1058</v>
      </c>
    </row>
    <row r="119" spans="1:11" ht="15" customHeight="1">
      <c r="A119" s="5" t="s">
        <v>1225</v>
      </c>
      <c r="B119" s="16" t="s">
        <v>348</v>
      </c>
      <c r="C119" s="16" t="s">
        <v>98</v>
      </c>
      <c r="D119" s="16" t="s">
        <v>173</v>
      </c>
      <c r="E119" s="16" t="s">
        <v>1004</v>
      </c>
      <c r="F119" s="23">
        <v>45738.561147534725</v>
      </c>
      <c r="G119" s="16" t="s">
        <v>991</v>
      </c>
      <c r="H119" s="16" t="s">
        <v>86</v>
      </c>
      <c r="I119" s="16" t="s">
        <v>1226</v>
      </c>
      <c r="J119" s="21">
        <v>5</v>
      </c>
      <c r="K119" s="6"/>
    </row>
    <row r="120" spans="1:11" ht="15" customHeight="1">
      <c r="A120" s="5" t="s">
        <v>1227</v>
      </c>
      <c r="B120" s="16" t="s">
        <v>349</v>
      </c>
      <c r="C120" s="16" t="s">
        <v>100</v>
      </c>
      <c r="D120" s="16" t="s">
        <v>197</v>
      </c>
      <c r="E120" s="16" t="s">
        <v>994</v>
      </c>
      <c r="F120" s="23">
        <v>46207.605225462961</v>
      </c>
      <c r="G120" s="16" t="s">
        <v>222</v>
      </c>
      <c r="H120" s="16"/>
      <c r="I120" s="16" t="s">
        <v>1228</v>
      </c>
      <c r="J120" s="21">
        <v>1</v>
      </c>
      <c r="K120" s="6" t="s">
        <v>981</v>
      </c>
    </row>
    <row r="121" spans="1:11" ht="15" customHeight="1">
      <c r="A121" s="5" t="s">
        <v>1229</v>
      </c>
      <c r="B121" s="16" t="s">
        <v>350</v>
      </c>
      <c r="C121" s="16" t="s">
        <v>100</v>
      </c>
      <c r="D121" s="16" t="s">
        <v>178</v>
      </c>
      <c r="E121" s="16" t="s">
        <v>1004</v>
      </c>
      <c r="F121" s="23">
        <v>46116.537080046299</v>
      </c>
      <c r="G121" s="16" t="s">
        <v>222</v>
      </c>
      <c r="H121" s="16"/>
      <c r="I121" s="16" t="s">
        <v>1230</v>
      </c>
      <c r="J121" s="21">
        <v>1</v>
      </c>
      <c r="K121" s="6" t="s">
        <v>981</v>
      </c>
    </row>
    <row r="122" spans="1:11" ht="15" customHeight="1">
      <c r="A122" s="5" t="s">
        <v>1231</v>
      </c>
      <c r="B122" s="16" t="s">
        <v>351</v>
      </c>
      <c r="C122" s="16" t="s">
        <v>100</v>
      </c>
      <c r="D122" s="16" t="s">
        <v>163</v>
      </c>
      <c r="E122" s="16" t="s">
        <v>1004</v>
      </c>
      <c r="F122" s="23">
        <v>46033.650977939818</v>
      </c>
      <c r="G122" s="16" t="s">
        <v>995</v>
      </c>
      <c r="H122" s="16" t="s">
        <v>51</v>
      </c>
      <c r="I122" s="16" t="s">
        <v>1232</v>
      </c>
      <c r="J122" s="21">
        <v>3</v>
      </c>
      <c r="K122" s="6"/>
    </row>
    <row r="123" spans="1:11" ht="15" customHeight="1">
      <c r="A123" s="5" t="s">
        <v>1233</v>
      </c>
      <c r="B123" s="16" t="s">
        <v>352</v>
      </c>
      <c r="C123" s="16" t="s">
        <v>100</v>
      </c>
      <c r="D123" s="16" t="s">
        <v>160</v>
      </c>
      <c r="E123" s="16" t="s">
        <v>983</v>
      </c>
      <c r="F123" s="23">
        <v>45965.331768379627</v>
      </c>
      <c r="G123" s="16" t="s">
        <v>222</v>
      </c>
      <c r="H123" s="16"/>
      <c r="I123" s="16" t="s">
        <v>1234</v>
      </c>
      <c r="J123" s="21">
        <v>1</v>
      </c>
      <c r="K123" s="6" t="s">
        <v>981</v>
      </c>
    </row>
    <row r="124" spans="1:11" ht="15" customHeight="1">
      <c r="A124" s="5" t="s">
        <v>1235</v>
      </c>
      <c r="B124" s="16" t="s">
        <v>353</v>
      </c>
      <c r="C124" s="16" t="s">
        <v>100</v>
      </c>
      <c r="D124" s="16" t="s">
        <v>181</v>
      </c>
      <c r="E124" s="16" t="s">
        <v>979</v>
      </c>
      <c r="F124" s="23">
        <v>46094.833292870368</v>
      </c>
      <c r="G124" s="16" t="s">
        <v>222</v>
      </c>
      <c r="H124" s="16"/>
      <c r="I124" s="16" t="s">
        <v>1236</v>
      </c>
      <c r="J124" s="21">
        <v>3</v>
      </c>
      <c r="K124" s="6" t="s">
        <v>981</v>
      </c>
    </row>
    <row r="125" spans="1:11" ht="15" customHeight="1">
      <c r="A125" s="5" t="s">
        <v>1237</v>
      </c>
      <c r="B125" s="16" t="s">
        <v>354</v>
      </c>
      <c r="C125" s="16" t="s">
        <v>100</v>
      </c>
      <c r="D125" s="16" t="s">
        <v>154</v>
      </c>
      <c r="E125" s="16" t="s">
        <v>1011</v>
      </c>
      <c r="F125" s="23">
        <v>45772.645068321763</v>
      </c>
      <c r="G125" s="16" t="s">
        <v>222</v>
      </c>
      <c r="H125" s="16"/>
      <c r="I125" s="16" t="s">
        <v>1238</v>
      </c>
      <c r="J125" s="21">
        <v>1</v>
      </c>
      <c r="K125" s="6" t="s">
        <v>981</v>
      </c>
    </row>
    <row r="126" spans="1:11" ht="15" customHeight="1">
      <c r="A126" s="5" t="s">
        <v>1239</v>
      </c>
      <c r="B126" s="16" t="s">
        <v>355</v>
      </c>
      <c r="C126" s="16" t="s">
        <v>100</v>
      </c>
      <c r="D126" s="16" t="s">
        <v>169</v>
      </c>
      <c r="E126" s="16" t="s">
        <v>994</v>
      </c>
      <c r="F126" s="23">
        <v>45990.091686111111</v>
      </c>
      <c r="G126" s="16" t="s">
        <v>991</v>
      </c>
      <c r="H126" s="16" t="s">
        <v>86</v>
      </c>
      <c r="I126" s="16" t="s">
        <v>1240</v>
      </c>
      <c r="J126" s="21">
        <v>5</v>
      </c>
      <c r="K126" s="6" t="s">
        <v>986</v>
      </c>
    </row>
    <row r="127" spans="1:11" ht="15" customHeight="1">
      <c r="A127" s="5" t="s">
        <v>1241</v>
      </c>
      <c r="B127" s="16" t="s">
        <v>356</v>
      </c>
      <c r="C127" s="16" t="s">
        <v>102</v>
      </c>
      <c r="D127" s="16" t="s">
        <v>163</v>
      </c>
      <c r="E127" s="16" t="s">
        <v>1011</v>
      </c>
      <c r="F127" s="23">
        <v>46016.974394687502</v>
      </c>
      <c r="G127" s="16" t="s">
        <v>991</v>
      </c>
      <c r="H127" s="16" t="s">
        <v>83</v>
      </c>
      <c r="I127" s="16" t="s">
        <v>1242</v>
      </c>
      <c r="J127" s="21">
        <v>4</v>
      </c>
      <c r="K127" s="6" t="s">
        <v>989</v>
      </c>
    </row>
    <row r="128" spans="1:11" ht="15" customHeight="1">
      <c r="A128" s="5" t="s">
        <v>1243</v>
      </c>
      <c r="B128" s="16" t="s">
        <v>357</v>
      </c>
      <c r="C128" s="16" t="s">
        <v>102</v>
      </c>
      <c r="D128" s="16" t="s">
        <v>160</v>
      </c>
      <c r="E128" s="16" t="s">
        <v>983</v>
      </c>
      <c r="F128" s="23">
        <v>45677.776879108795</v>
      </c>
      <c r="G128" s="16" t="s">
        <v>991</v>
      </c>
      <c r="H128" s="16" t="s">
        <v>83</v>
      </c>
      <c r="I128" s="16" t="s">
        <v>1244</v>
      </c>
      <c r="J128" s="21">
        <v>4</v>
      </c>
      <c r="K128" s="6"/>
    </row>
    <row r="129" spans="1:11" ht="15" customHeight="1">
      <c r="A129" s="5" t="s">
        <v>1245</v>
      </c>
      <c r="B129" s="16" t="s">
        <v>358</v>
      </c>
      <c r="C129" s="16" t="s">
        <v>102</v>
      </c>
      <c r="D129" s="16" t="s">
        <v>154</v>
      </c>
      <c r="E129" s="16" t="s">
        <v>983</v>
      </c>
      <c r="F129" s="23">
        <v>46157.097617407409</v>
      </c>
      <c r="G129" s="16" t="s">
        <v>991</v>
      </c>
      <c r="H129" s="16" t="s">
        <v>51</v>
      </c>
      <c r="I129" s="16" t="s">
        <v>1246</v>
      </c>
      <c r="J129" s="21">
        <v>4</v>
      </c>
      <c r="K129" s="6"/>
    </row>
    <row r="130" spans="1:11" ht="15" customHeight="1">
      <c r="A130" s="5" t="s">
        <v>1247</v>
      </c>
      <c r="B130" s="16" t="s">
        <v>359</v>
      </c>
      <c r="C130" s="16" t="s">
        <v>102</v>
      </c>
      <c r="D130" s="16" t="s">
        <v>197</v>
      </c>
      <c r="E130" s="16" t="s">
        <v>1004</v>
      </c>
      <c r="F130" s="23">
        <v>46036.131801944444</v>
      </c>
      <c r="G130" s="16" t="s">
        <v>991</v>
      </c>
      <c r="H130" s="16" t="s">
        <v>83</v>
      </c>
      <c r="I130" s="16" t="s">
        <v>1248</v>
      </c>
      <c r="J130" s="21">
        <v>4</v>
      </c>
      <c r="K130" s="6" t="s">
        <v>1058</v>
      </c>
    </row>
    <row r="131" spans="1:11" ht="15" customHeight="1">
      <c r="A131" s="5" t="s">
        <v>1249</v>
      </c>
      <c r="B131" s="16" t="s">
        <v>360</v>
      </c>
      <c r="C131" s="16" t="s">
        <v>102</v>
      </c>
      <c r="D131" s="16" t="s">
        <v>144</v>
      </c>
      <c r="E131" s="16" t="s">
        <v>983</v>
      </c>
      <c r="F131" s="23">
        <v>46076.714666030093</v>
      </c>
      <c r="G131" s="16" t="s">
        <v>222</v>
      </c>
      <c r="H131" s="16"/>
      <c r="I131" s="16" t="s">
        <v>1250</v>
      </c>
      <c r="J131" s="21">
        <v>1</v>
      </c>
      <c r="K131" s="6" t="s">
        <v>981</v>
      </c>
    </row>
    <row r="132" spans="1:11" ht="15" customHeight="1">
      <c r="A132" s="5" t="s">
        <v>1251</v>
      </c>
      <c r="B132" s="16" t="s">
        <v>361</v>
      </c>
      <c r="C132" s="16" t="s">
        <v>102</v>
      </c>
      <c r="D132" s="16" t="s">
        <v>200</v>
      </c>
      <c r="E132" s="16" t="s">
        <v>1004</v>
      </c>
      <c r="F132" s="23">
        <v>46012.809096435187</v>
      </c>
      <c r="G132" s="16" t="s">
        <v>991</v>
      </c>
      <c r="H132" s="16" t="s">
        <v>86</v>
      </c>
      <c r="I132" s="16" t="s">
        <v>1252</v>
      </c>
      <c r="J132" s="21">
        <v>5</v>
      </c>
      <c r="K132" s="6"/>
    </row>
    <row r="133" spans="1:11" ht="15" customHeight="1">
      <c r="A133" s="5" t="s">
        <v>1253</v>
      </c>
      <c r="B133" s="16" t="s">
        <v>362</v>
      </c>
      <c r="C133" s="16" t="s">
        <v>104</v>
      </c>
      <c r="D133" s="16" t="s">
        <v>171</v>
      </c>
      <c r="E133" s="16" t="s">
        <v>979</v>
      </c>
      <c r="F133" s="23">
        <v>45796.24357770833</v>
      </c>
      <c r="G133" s="16" t="s">
        <v>991</v>
      </c>
      <c r="H133" s="16" t="s">
        <v>51</v>
      </c>
      <c r="I133" s="16" t="s">
        <v>1254</v>
      </c>
      <c r="J133" s="21">
        <v>5</v>
      </c>
      <c r="K133" s="6"/>
    </row>
    <row r="134" spans="1:11" ht="15" customHeight="1">
      <c r="A134" s="5" t="s">
        <v>1255</v>
      </c>
      <c r="B134" s="16" t="s">
        <v>363</v>
      </c>
      <c r="C134" s="16" t="s">
        <v>104</v>
      </c>
      <c r="D134" s="16" t="s">
        <v>163</v>
      </c>
      <c r="E134" s="16" t="s">
        <v>1011</v>
      </c>
      <c r="F134" s="23">
        <v>45752.140820196757</v>
      </c>
      <c r="G134" s="16" t="s">
        <v>991</v>
      </c>
      <c r="H134" s="16" t="s">
        <v>57</v>
      </c>
      <c r="I134" s="16" t="s">
        <v>1256</v>
      </c>
      <c r="J134" s="21">
        <v>4</v>
      </c>
      <c r="K134" s="6" t="s">
        <v>986</v>
      </c>
    </row>
    <row r="135" spans="1:11" ht="15" customHeight="1">
      <c r="A135" s="5" t="s">
        <v>1257</v>
      </c>
      <c r="B135" s="16" t="s">
        <v>364</v>
      </c>
      <c r="C135" s="16" t="s">
        <v>104</v>
      </c>
      <c r="D135" s="16" t="s">
        <v>173</v>
      </c>
      <c r="E135" s="16" t="s">
        <v>1018</v>
      </c>
      <c r="F135" s="23">
        <v>46040.943516041669</v>
      </c>
      <c r="G135" s="16" t="s">
        <v>984</v>
      </c>
      <c r="H135" s="16" t="s">
        <v>67</v>
      </c>
      <c r="I135" s="16" t="s">
        <v>1258</v>
      </c>
      <c r="J135" s="21">
        <v>1</v>
      </c>
      <c r="K135" s="6" t="s">
        <v>1058</v>
      </c>
    </row>
    <row r="136" spans="1:11" ht="15" customHeight="1">
      <c r="A136" s="5" t="s">
        <v>1259</v>
      </c>
      <c r="B136" s="16" t="s">
        <v>365</v>
      </c>
      <c r="C136" s="16" t="s">
        <v>104</v>
      </c>
      <c r="D136" s="16" t="s">
        <v>192</v>
      </c>
      <c r="E136" s="16" t="s">
        <v>979</v>
      </c>
      <c r="F136" s="23">
        <v>46042.70589568287</v>
      </c>
      <c r="G136" s="16" t="s">
        <v>222</v>
      </c>
      <c r="H136" s="16"/>
      <c r="I136" s="16" t="s">
        <v>1260</v>
      </c>
      <c r="J136" s="21">
        <v>2</v>
      </c>
      <c r="K136" s="6" t="s">
        <v>981</v>
      </c>
    </row>
    <row r="137" spans="1:11" ht="15" customHeight="1">
      <c r="A137" s="5" t="s">
        <v>1261</v>
      </c>
      <c r="B137" s="16" t="s">
        <v>366</v>
      </c>
      <c r="C137" s="16" t="s">
        <v>104</v>
      </c>
      <c r="D137" s="16" t="s">
        <v>197</v>
      </c>
      <c r="E137" s="16" t="s">
        <v>979</v>
      </c>
      <c r="F137" s="23">
        <v>45755.252056296296</v>
      </c>
      <c r="G137" s="16" t="s">
        <v>991</v>
      </c>
      <c r="H137" s="16" t="s">
        <v>51</v>
      </c>
      <c r="I137" s="16" t="s">
        <v>1262</v>
      </c>
      <c r="J137" s="21">
        <v>5</v>
      </c>
      <c r="K137" s="6" t="s">
        <v>989</v>
      </c>
    </row>
    <row r="138" spans="1:11" ht="15" customHeight="1">
      <c r="A138" s="5" t="s">
        <v>1263</v>
      </c>
      <c r="B138" s="16" t="s">
        <v>367</v>
      </c>
      <c r="C138" s="16" t="s">
        <v>104</v>
      </c>
      <c r="D138" s="16" t="s">
        <v>175</v>
      </c>
      <c r="E138" s="16" t="s">
        <v>983</v>
      </c>
      <c r="F138" s="23">
        <v>46135.20752246528</v>
      </c>
      <c r="G138" s="16" t="s">
        <v>984</v>
      </c>
      <c r="H138" s="16" t="s">
        <v>51</v>
      </c>
      <c r="I138" s="16" t="s">
        <v>1264</v>
      </c>
      <c r="J138" s="21">
        <v>2</v>
      </c>
      <c r="K138" s="6" t="s">
        <v>989</v>
      </c>
    </row>
    <row r="139" spans="1:11" ht="15" customHeight="1">
      <c r="A139" s="5" t="s">
        <v>1265</v>
      </c>
      <c r="B139" s="16" t="s">
        <v>368</v>
      </c>
      <c r="C139" s="16" t="s">
        <v>106</v>
      </c>
      <c r="D139" s="16" t="s">
        <v>178</v>
      </c>
      <c r="E139" s="16" t="s">
        <v>994</v>
      </c>
      <c r="F139" s="23">
        <v>46117.951459039352</v>
      </c>
      <c r="G139" s="16" t="s">
        <v>984</v>
      </c>
      <c r="H139" s="16" t="s">
        <v>83</v>
      </c>
      <c r="I139" s="16" t="s">
        <v>1266</v>
      </c>
      <c r="J139" s="21">
        <v>2</v>
      </c>
      <c r="K139" s="6"/>
    </row>
    <row r="140" spans="1:11" ht="15" customHeight="1">
      <c r="A140" s="5" t="s">
        <v>1267</v>
      </c>
      <c r="B140" s="16" t="s">
        <v>369</v>
      </c>
      <c r="C140" s="16" t="s">
        <v>106</v>
      </c>
      <c r="D140" s="16" t="s">
        <v>175</v>
      </c>
      <c r="E140" s="16" t="s">
        <v>1011</v>
      </c>
      <c r="F140" s="23">
        <v>46005.768809374997</v>
      </c>
      <c r="G140" s="16" t="s">
        <v>222</v>
      </c>
      <c r="H140" s="16"/>
      <c r="I140" s="16" t="s">
        <v>1268</v>
      </c>
      <c r="J140" s="21">
        <v>3</v>
      </c>
      <c r="K140" s="6" t="s">
        <v>981</v>
      </c>
    </row>
    <row r="141" spans="1:11" ht="15" customHeight="1">
      <c r="A141" s="5" t="s">
        <v>1269</v>
      </c>
      <c r="B141" s="16" t="s">
        <v>370</v>
      </c>
      <c r="C141" s="16" t="s">
        <v>106</v>
      </c>
      <c r="D141" s="16" t="s">
        <v>197</v>
      </c>
      <c r="E141" s="16" t="s">
        <v>1011</v>
      </c>
      <c r="F141" s="23">
        <v>46054.02913732639</v>
      </c>
      <c r="G141" s="16" t="s">
        <v>995</v>
      </c>
      <c r="H141" s="16" t="s">
        <v>51</v>
      </c>
      <c r="I141" s="16" t="s">
        <v>1270</v>
      </c>
      <c r="J141" s="21">
        <v>3</v>
      </c>
      <c r="K141" s="6"/>
    </row>
    <row r="142" spans="1:11" ht="15" customHeight="1">
      <c r="A142" s="5" t="s">
        <v>1271</v>
      </c>
      <c r="B142" s="16" t="s">
        <v>371</v>
      </c>
      <c r="C142" s="16" t="s">
        <v>106</v>
      </c>
      <c r="D142" s="16" t="s">
        <v>189</v>
      </c>
      <c r="E142" s="16" t="s">
        <v>979</v>
      </c>
      <c r="F142" s="23">
        <v>46139.526490601849</v>
      </c>
      <c r="G142" s="16" t="s">
        <v>995</v>
      </c>
      <c r="H142" s="16" t="s">
        <v>67</v>
      </c>
      <c r="I142" s="16" t="s">
        <v>1272</v>
      </c>
      <c r="J142" s="21">
        <v>1</v>
      </c>
      <c r="K142" s="6"/>
    </row>
    <row r="143" spans="1:11" ht="15" customHeight="1">
      <c r="A143" s="5" t="s">
        <v>1273</v>
      </c>
      <c r="B143" s="16" t="s">
        <v>372</v>
      </c>
      <c r="C143" s="16" t="s">
        <v>106</v>
      </c>
      <c r="D143" s="16" t="s">
        <v>186</v>
      </c>
      <c r="E143" s="16" t="s">
        <v>983</v>
      </c>
      <c r="F143" s="23">
        <v>46008.75147541667</v>
      </c>
      <c r="G143" s="16" t="s">
        <v>991</v>
      </c>
      <c r="H143" s="16" t="s">
        <v>57</v>
      </c>
      <c r="I143" s="16" t="s">
        <v>1274</v>
      </c>
      <c r="J143" s="21">
        <v>5</v>
      </c>
      <c r="K143" s="6"/>
    </row>
    <row r="144" spans="1:11" ht="15" customHeight="1">
      <c r="A144" s="5" t="s">
        <v>1275</v>
      </c>
      <c r="B144" s="16" t="s">
        <v>373</v>
      </c>
      <c r="C144" s="16" t="s">
        <v>106</v>
      </c>
      <c r="D144" s="16" t="s">
        <v>151</v>
      </c>
      <c r="E144" s="16" t="s">
        <v>994</v>
      </c>
      <c r="F144" s="23">
        <v>46138.099793298614</v>
      </c>
      <c r="G144" s="16" t="s">
        <v>984</v>
      </c>
      <c r="H144" s="16" t="s">
        <v>83</v>
      </c>
      <c r="I144" s="16" t="s">
        <v>1276</v>
      </c>
      <c r="J144" s="21">
        <v>3</v>
      </c>
      <c r="K144" s="6" t="s">
        <v>1058</v>
      </c>
    </row>
    <row r="145" spans="1:11" ht="15" customHeight="1">
      <c r="A145" s="5" t="s">
        <v>1277</v>
      </c>
      <c r="B145" s="16" t="s">
        <v>374</v>
      </c>
      <c r="C145" s="16" t="s">
        <v>108</v>
      </c>
      <c r="D145" s="16" t="s">
        <v>175</v>
      </c>
      <c r="E145" s="16" t="s">
        <v>994</v>
      </c>
      <c r="F145" s="23">
        <v>46149.422576539349</v>
      </c>
      <c r="G145" s="16" t="s">
        <v>222</v>
      </c>
      <c r="H145" s="16"/>
      <c r="I145" s="16" t="s">
        <v>1278</v>
      </c>
      <c r="J145" s="21">
        <v>2</v>
      </c>
      <c r="K145" s="6" t="s">
        <v>981</v>
      </c>
    </row>
    <row r="146" spans="1:11" ht="15" customHeight="1">
      <c r="A146" s="5" t="s">
        <v>1279</v>
      </c>
      <c r="B146" s="16" t="s">
        <v>375</v>
      </c>
      <c r="C146" s="16" t="s">
        <v>108</v>
      </c>
      <c r="D146" s="16" t="s">
        <v>189</v>
      </c>
      <c r="E146" s="16" t="s">
        <v>983</v>
      </c>
      <c r="F146" s="23">
        <v>46077.692022476855</v>
      </c>
      <c r="G146" s="16" t="s">
        <v>222</v>
      </c>
      <c r="H146" s="16"/>
      <c r="I146" s="16" t="s">
        <v>1280</v>
      </c>
      <c r="J146" s="21">
        <v>3</v>
      </c>
      <c r="K146" s="6" t="s">
        <v>981</v>
      </c>
    </row>
    <row r="147" spans="1:11" ht="15" customHeight="1">
      <c r="A147" s="5" t="s">
        <v>1281</v>
      </c>
      <c r="B147" s="16" t="s">
        <v>376</v>
      </c>
      <c r="C147" s="16" t="s">
        <v>108</v>
      </c>
      <c r="D147" s="16" t="s">
        <v>202</v>
      </c>
      <c r="E147" s="16" t="s">
        <v>994</v>
      </c>
      <c r="F147" s="23">
        <v>46049.687459328707</v>
      </c>
      <c r="G147" s="16" t="s">
        <v>991</v>
      </c>
      <c r="H147" s="16" t="s">
        <v>86</v>
      </c>
      <c r="I147" s="16" t="s">
        <v>1282</v>
      </c>
      <c r="J147" s="21">
        <v>5</v>
      </c>
      <c r="K147" s="6" t="s">
        <v>1058</v>
      </c>
    </row>
    <row r="148" spans="1:11" ht="15" customHeight="1">
      <c r="A148" s="5" t="s">
        <v>1283</v>
      </c>
      <c r="B148" s="16" t="s">
        <v>377</v>
      </c>
      <c r="C148" s="16" t="s">
        <v>108</v>
      </c>
      <c r="D148" s="16" t="s">
        <v>160</v>
      </c>
      <c r="E148" s="16" t="s">
        <v>994</v>
      </c>
      <c r="F148" s="23">
        <v>45729.871791215279</v>
      </c>
      <c r="G148" s="16" t="s">
        <v>991</v>
      </c>
      <c r="H148" s="16" t="s">
        <v>77</v>
      </c>
      <c r="I148" s="16" t="s">
        <v>1284</v>
      </c>
      <c r="J148" s="21">
        <v>5</v>
      </c>
      <c r="K148" s="6"/>
    </row>
    <row r="149" spans="1:11" ht="15" customHeight="1">
      <c r="A149" s="5" t="s">
        <v>1285</v>
      </c>
      <c r="B149" s="16" t="s">
        <v>378</v>
      </c>
      <c r="C149" s="16" t="s">
        <v>108</v>
      </c>
      <c r="D149" s="16" t="s">
        <v>151</v>
      </c>
      <c r="E149" s="16" t="s">
        <v>979</v>
      </c>
      <c r="F149" s="23">
        <v>45774.454065821759</v>
      </c>
      <c r="G149" s="16" t="s">
        <v>991</v>
      </c>
      <c r="H149" s="16" t="s">
        <v>57</v>
      </c>
      <c r="I149" s="16" t="s">
        <v>1286</v>
      </c>
      <c r="J149" s="21">
        <v>5</v>
      </c>
      <c r="K149" s="6"/>
    </row>
    <row r="150" spans="1:11" ht="15" customHeight="1">
      <c r="A150" s="5" t="s">
        <v>1287</v>
      </c>
      <c r="B150" s="16" t="s">
        <v>379</v>
      </c>
      <c r="C150" s="16" t="s">
        <v>108</v>
      </c>
      <c r="D150" s="16" t="s">
        <v>149</v>
      </c>
      <c r="E150" s="16" t="s">
        <v>1011</v>
      </c>
      <c r="F150" s="23">
        <v>45994.365867870372</v>
      </c>
      <c r="G150" s="16" t="s">
        <v>991</v>
      </c>
      <c r="H150" s="16" t="s">
        <v>57</v>
      </c>
      <c r="I150" s="16" t="s">
        <v>1288</v>
      </c>
      <c r="J150" s="21">
        <v>4</v>
      </c>
      <c r="K150" s="6" t="s">
        <v>986</v>
      </c>
    </row>
    <row r="151" spans="1:11" ht="15" customHeight="1">
      <c r="A151" s="7" t="s">
        <v>1289</v>
      </c>
      <c r="B151" s="17" t="s">
        <v>380</v>
      </c>
      <c r="C151" s="17" t="s">
        <v>108</v>
      </c>
      <c r="D151" s="17" t="s">
        <v>163</v>
      </c>
      <c r="E151" s="17" t="s">
        <v>994</v>
      </c>
      <c r="F151" s="24">
        <v>46191.571154363424</v>
      </c>
      <c r="G151" s="17" t="s">
        <v>995</v>
      </c>
      <c r="H151" s="17" t="s">
        <v>86</v>
      </c>
      <c r="I151" s="17" t="s">
        <v>1290</v>
      </c>
      <c r="J151" s="22">
        <v>2</v>
      </c>
      <c r="K151" s="8" t="s">
        <v>986</v>
      </c>
    </row>
  </sheetData>
  <dataValidations count="1">
    <dataValidation type="list" sqref="G2:G151" xr:uid="{00000000-0002-0000-0700-000000000000}">
      <formula1>"Approved,Pending Review,Needs Rework,Missing"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7"/>
  <sheetViews>
    <sheetView showGridLines="0" workbookViewId="0"/>
  </sheetViews>
  <sheetFormatPr defaultRowHeight="13.5"/>
  <cols>
    <col min="1" max="1" width="6.875" customWidth="1"/>
    <col min="2" max="2" width="10.375" customWidth="1"/>
    <col min="3" max="3" width="13.5" customWidth="1"/>
    <col min="4" max="4" width="16.125" customWidth="1"/>
    <col min="5" max="5" width="15.25" customWidth="1"/>
    <col min="6" max="6" width="17.125" customWidth="1"/>
    <col min="7" max="7" width="10.375" customWidth="1"/>
    <col min="8" max="8" width="29.5" customWidth="1"/>
    <col min="9" max="9" width="10.25" customWidth="1"/>
    <col min="10" max="10" width="12.75" customWidth="1"/>
    <col min="11" max="11" width="14.875" customWidth="1"/>
  </cols>
  <sheetData>
    <row r="1" spans="1:11" ht="15" customHeight="1">
      <c r="A1" s="9" t="s">
        <v>1291</v>
      </c>
      <c r="B1" s="18" t="s">
        <v>37</v>
      </c>
      <c r="C1" s="18" t="s">
        <v>38</v>
      </c>
      <c r="D1" s="18" t="s">
        <v>39</v>
      </c>
      <c r="E1" s="18" t="s">
        <v>1292</v>
      </c>
      <c r="F1" s="18" t="s">
        <v>1293</v>
      </c>
      <c r="G1" s="18" t="s">
        <v>1294</v>
      </c>
      <c r="H1" s="18" t="s">
        <v>1295</v>
      </c>
      <c r="I1" s="18" t="s">
        <v>1296</v>
      </c>
      <c r="J1" s="18" t="s">
        <v>1297</v>
      </c>
      <c r="K1" s="10" t="s">
        <v>1298</v>
      </c>
    </row>
    <row r="2" spans="1:11" ht="15" customHeight="1">
      <c r="A2" s="5" t="s">
        <v>1299</v>
      </c>
      <c r="B2" s="16" t="s">
        <v>46</v>
      </c>
      <c r="C2" s="16" t="str">
        <f>IFERROR(INDEX(employees!$B$2:$B$37,MATCH(B2,employees!$A$2:$A$37,0)),"")</f>
        <v>Avery Brown</v>
      </c>
      <c r="D2" s="16" t="s">
        <v>48</v>
      </c>
      <c r="E2" s="16" t="s">
        <v>1300</v>
      </c>
      <c r="F2" s="16" t="s">
        <v>158</v>
      </c>
      <c r="G2" s="23">
        <v>46173.168926782404</v>
      </c>
      <c r="H2" s="16" t="s">
        <v>1301</v>
      </c>
      <c r="I2" s="16" t="s">
        <v>1302</v>
      </c>
      <c r="J2" s="21">
        <v>18</v>
      </c>
      <c r="K2" s="6" t="s">
        <v>1303</v>
      </c>
    </row>
    <row r="3" spans="1:11" ht="15" customHeight="1">
      <c r="A3" s="5" t="s">
        <v>1304</v>
      </c>
      <c r="B3" s="16" t="s">
        <v>53</v>
      </c>
      <c r="C3" s="16" t="str">
        <f>IFERROR(INDEX(employees!$B$2:$B$37,MATCH(B3,employees!$A$2:$A$37,0)),"")</f>
        <v>Alex Shah</v>
      </c>
      <c r="D3" s="16" t="s">
        <v>49</v>
      </c>
      <c r="E3" s="16" t="s">
        <v>1305</v>
      </c>
      <c r="F3" s="16" t="s">
        <v>1306</v>
      </c>
      <c r="G3" s="23">
        <v>46180.705544432873</v>
      </c>
      <c r="H3" s="16" t="s">
        <v>1301</v>
      </c>
      <c r="I3" s="16" t="s">
        <v>1302</v>
      </c>
      <c r="J3" s="21">
        <v>13</v>
      </c>
      <c r="K3" s="6" t="s">
        <v>516</v>
      </c>
    </row>
    <row r="4" spans="1:11" ht="15" customHeight="1">
      <c r="A4" s="5" t="s">
        <v>1307</v>
      </c>
      <c r="B4" s="16" t="s">
        <v>58</v>
      </c>
      <c r="C4" s="16" t="str">
        <f>IFERROR(INDEX(employees!$B$2:$B$37,MATCH(B4,employees!$A$2:$A$37,0)),"")</f>
        <v>Jamie Taylor</v>
      </c>
      <c r="D4" s="16" t="s">
        <v>48</v>
      </c>
      <c r="E4" s="16" t="s">
        <v>523</v>
      </c>
      <c r="F4" s="16" t="s">
        <v>158</v>
      </c>
      <c r="G4" s="23">
        <v>46184.517419374999</v>
      </c>
      <c r="H4" s="16" t="s">
        <v>1308</v>
      </c>
      <c r="I4" s="16" t="s">
        <v>1309</v>
      </c>
      <c r="J4" s="21">
        <v>17</v>
      </c>
      <c r="K4" s="6" t="s">
        <v>1303</v>
      </c>
    </row>
    <row r="5" spans="1:11" ht="15" customHeight="1">
      <c r="A5" s="5" t="s">
        <v>1310</v>
      </c>
      <c r="B5" s="16" t="s">
        <v>60</v>
      </c>
      <c r="C5" s="16" t="str">
        <f>IFERROR(INDEX(employees!$B$2:$B$37,MATCH(B5,employees!$A$2:$A$37,0)),"")</f>
        <v>Riley Chen</v>
      </c>
      <c r="D5" s="16" t="s">
        <v>62</v>
      </c>
      <c r="E5" s="16" t="s">
        <v>506</v>
      </c>
      <c r="F5" s="16" t="s">
        <v>158</v>
      </c>
      <c r="G5" s="23">
        <v>46154.149287372682</v>
      </c>
      <c r="H5" s="16" t="s">
        <v>1311</v>
      </c>
      <c r="I5" s="16" t="s">
        <v>1302</v>
      </c>
      <c r="J5" s="21">
        <v>3</v>
      </c>
      <c r="K5" s="6" t="s">
        <v>510</v>
      </c>
    </row>
    <row r="6" spans="1:11" ht="15" customHeight="1">
      <c r="A6" s="5" t="s">
        <v>1312</v>
      </c>
      <c r="B6" s="16" t="s">
        <v>64</v>
      </c>
      <c r="C6" s="16" t="str">
        <f>IFERROR(INDEX(employees!$B$2:$B$37,MATCH(B6,employees!$A$2:$A$37,0)),"")</f>
        <v>Jamie Williams</v>
      </c>
      <c r="D6" s="16" t="s">
        <v>49</v>
      </c>
      <c r="E6" s="16" t="s">
        <v>523</v>
      </c>
      <c r="F6" s="16" t="s">
        <v>1313</v>
      </c>
      <c r="G6" s="23">
        <v>46171.582950798613</v>
      </c>
      <c r="H6" s="16" t="s">
        <v>1314</v>
      </c>
      <c r="I6" s="16" t="s">
        <v>1315</v>
      </c>
      <c r="J6" s="21">
        <v>0</v>
      </c>
      <c r="K6" s="6"/>
    </row>
    <row r="7" spans="1:11" ht="15" customHeight="1">
      <c r="A7" s="5" t="s">
        <v>1316</v>
      </c>
      <c r="B7" s="16" t="s">
        <v>68</v>
      </c>
      <c r="C7" s="16" t="str">
        <f>IFERROR(INDEX(employees!$B$2:$B$37,MATCH(B7,employees!$A$2:$A$37,0)),"")</f>
        <v>Taylor Patel</v>
      </c>
      <c r="D7" s="16" t="s">
        <v>62</v>
      </c>
      <c r="E7" s="16" t="s">
        <v>523</v>
      </c>
      <c r="F7" s="16" t="s">
        <v>158</v>
      </c>
      <c r="G7" s="23">
        <v>46196.857754814817</v>
      </c>
      <c r="H7" s="16" t="s">
        <v>1301</v>
      </c>
      <c r="I7" s="16" t="s">
        <v>1302</v>
      </c>
      <c r="J7" s="21">
        <v>2</v>
      </c>
      <c r="K7" s="6" t="s">
        <v>523</v>
      </c>
    </row>
    <row r="8" spans="1:11" ht="15" customHeight="1">
      <c r="A8" s="5" t="s">
        <v>1317</v>
      </c>
      <c r="B8" s="16" t="s">
        <v>71</v>
      </c>
      <c r="C8" s="16" t="str">
        <f>IFERROR(INDEX(employees!$B$2:$B$37,MATCH(B8,employees!$A$2:$A$37,0)),"")</f>
        <v>Morgan Nguyen</v>
      </c>
      <c r="D8" s="16" t="s">
        <v>48</v>
      </c>
      <c r="E8" s="16" t="s">
        <v>1300</v>
      </c>
      <c r="F8" s="16" t="s">
        <v>1313</v>
      </c>
      <c r="G8" s="23">
        <v>46167.202419467591</v>
      </c>
      <c r="H8" s="16" t="s">
        <v>1318</v>
      </c>
      <c r="I8" s="16" t="s">
        <v>1309</v>
      </c>
      <c r="J8" s="21">
        <v>20</v>
      </c>
      <c r="K8" s="6" t="s">
        <v>1303</v>
      </c>
    </row>
    <row r="9" spans="1:11" ht="15" customHeight="1">
      <c r="A9" s="5" t="s">
        <v>1319</v>
      </c>
      <c r="B9" s="16" t="s">
        <v>74</v>
      </c>
      <c r="C9" s="16" t="str">
        <f>IFERROR(INDEX(employees!$B$2:$B$37,MATCH(B9,employees!$A$2:$A$37,0)),"")</f>
        <v>Morgan Williams</v>
      </c>
      <c r="D9" s="16" t="s">
        <v>76</v>
      </c>
      <c r="E9" s="16" t="s">
        <v>506</v>
      </c>
      <c r="F9" s="16" t="s">
        <v>1320</v>
      </c>
      <c r="G9" s="23">
        <v>46184.591808518519</v>
      </c>
      <c r="H9" s="16" t="s">
        <v>1311</v>
      </c>
      <c r="I9" s="16" t="s">
        <v>515</v>
      </c>
      <c r="J9" s="21">
        <v>15</v>
      </c>
      <c r="K9" s="6" t="s">
        <v>510</v>
      </c>
    </row>
    <row r="10" spans="1:11" ht="15" customHeight="1">
      <c r="A10" s="5" t="s">
        <v>1321</v>
      </c>
      <c r="B10" s="16" t="s">
        <v>78</v>
      </c>
      <c r="C10" s="16" t="str">
        <f>IFERROR(INDEX(employees!$B$2:$B$37,MATCH(B10,employees!$A$2:$A$37,0)),"")</f>
        <v>Riley Morgan</v>
      </c>
      <c r="D10" s="16" t="s">
        <v>49</v>
      </c>
      <c r="E10" s="16" t="s">
        <v>523</v>
      </c>
      <c r="F10" s="16" t="s">
        <v>1306</v>
      </c>
      <c r="G10" s="23">
        <v>46188.787083634263</v>
      </c>
      <c r="H10" s="16" t="s">
        <v>1314</v>
      </c>
      <c r="I10" s="16" t="s">
        <v>1315</v>
      </c>
      <c r="J10" s="21">
        <v>0</v>
      </c>
      <c r="K10" s="6"/>
    </row>
    <row r="11" spans="1:11" ht="15" customHeight="1">
      <c r="A11" s="5" t="s">
        <v>1322</v>
      </c>
      <c r="B11" s="16" t="s">
        <v>81</v>
      </c>
      <c r="C11" s="16" t="str">
        <f>IFERROR(INDEX(employees!$B$2:$B$37,MATCH(B11,employees!$A$2:$A$37,0)),"")</f>
        <v>Jordan Khan</v>
      </c>
      <c r="D11" s="16" t="s">
        <v>76</v>
      </c>
      <c r="E11" s="16" t="s">
        <v>1305</v>
      </c>
      <c r="F11" s="16" t="s">
        <v>158</v>
      </c>
      <c r="G11" s="23">
        <v>46142.722521284719</v>
      </c>
      <c r="H11" s="16" t="s">
        <v>1301</v>
      </c>
      <c r="I11" s="16" t="s">
        <v>1309</v>
      </c>
      <c r="J11" s="21">
        <v>14</v>
      </c>
      <c r="K11" s="6" t="s">
        <v>510</v>
      </c>
    </row>
    <row r="12" spans="1:11" ht="15" customHeight="1">
      <c r="A12" s="5" t="s">
        <v>1323</v>
      </c>
      <c r="B12" s="16" t="s">
        <v>84</v>
      </c>
      <c r="C12" s="16" t="str">
        <f>IFERROR(INDEX(employees!$B$2:$B$37,MATCH(B12,employees!$A$2:$A$37,0)),"")</f>
        <v>Casey Walker</v>
      </c>
      <c r="D12" s="16" t="s">
        <v>49</v>
      </c>
      <c r="E12" s="16" t="s">
        <v>1305</v>
      </c>
      <c r="F12" s="16" t="s">
        <v>1306</v>
      </c>
      <c r="G12" s="23">
        <v>46174.346728958335</v>
      </c>
      <c r="H12" s="16" t="s">
        <v>1314</v>
      </c>
      <c r="I12" s="16" t="s">
        <v>1315</v>
      </c>
      <c r="J12" s="21">
        <v>0</v>
      </c>
      <c r="K12" s="6"/>
    </row>
    <row r="13" spans="1:11" ht="15" customHeight="1">
      <c r="A13" s="5" t="s">
        <v>1324</v>
      </c>
      <c r="B13" s="16" t="s">
        <v>87</v>
      </c>
      <c r="C13" s="16" t="str">
        <f>IFERROR(INDEX(employees!$B$2:$B$37,MATCH(B13,employees!$A$2:$A$37,0)),"")</f>
        <v>Morgan Khan</v>
      </c>
      <c r="D13" s="16" t="s">
        <v>49</v>
      </c>
      <c r="E13" s="16" t="s">
        <v>1305</v>
      </c>
      <c r="F13" s="16" t="s">
        <v>1320</v>
      </c>
      <c r="G13" s="23">
        <v>46137.024756342595</v>
      </c>
      <c r="H13" s="16" t="s">
        <v>1318</v>
      </c>
      <c r="I13" s="16" t="s">
        <v>1309</v>
      </c>
      <c r="J13" s="21">
        <v>12</v>
      </c>
      <c r="K13" s="6" t="s">
        <v>516</v>
      </c>
    </row>
    <row r="14" spans="1:11" ht="15" customHeight="1">
      <c r="A14" s="5" t="s">
        <v>1325</v>
      </c>
      <c r="B14" s="16" t="s">
        <v>89</v>
      </c>
      <c r="C14" s="16" t="str">
        <f>IFERROR(INDEX(employees!$B$2:$B$37,MATCH(B14,employees!$A$2:$A$37,0)),"")</f>
        <v>Riley Taylor</v>
      </c>
      <c r="D14" s="16" t="s">
        <v>91</v>
      </c>
      <c r="E14" s="16" t="s">
        <v>1326</v>
      </c>
      <c r="F14" s="16" t="s">
        <v>1306</v>
      </c>
      <c r="G14" s="23">
        <v>45937.591608182869</v>
      </c>
      <c r="H14" s="16" t="s">
        <v>1327</v>
      </c>
      <c r="I14" s="16" t="s">
        <v>1309</v>
      </c>
      <c r="J14" s="21">
        <v>16</v>
      </c>
      <c r="K14" s="6" t="s">
        <v>510</v>
      </c>
    </row>
    <row r="15" spans="1:11" ht="15" customHeight="1">
      <c r="A15" s="5" t="s">
        <v>1328</v>
      </c>
      <c r="B15" s="16" t="s">
        <v>93</v>
      </c>
      <c r="C15" s="16" t="str">
        <f>IFERROR(INDEX(employees!$B$2:$B$37,MATCH(B15,employees!$A$2:$A$37,0)),"")</f>
        <v>Sam Nguyen</v>
      </c>
      <c r="D15" s="16" t="s">
        <v>76</v>
      </c>
      <c r="E15" s="16" t="s">
        <v>506</v>
      </c>
      <c r="F15" s="16" t="s">
        <v>158</v>
      </c>
      <c r="G15" s="23">
        <v>46175.263814155092</v>
      </c>
      <c r="H15" s="16" t="s">
        <v>1314</v>
      </c>
      <c r="I15" s="16" t="s">
        <v>1315</v>
      </c>
      <c r="J15" s="21">
        <v>0</v>
      </c>
      <c r="K15" s="6"/>
    </row>
    <row r="16" spans="1:11" ht="15" customHeight="1">
      <c r="A16" s="5" t="s">
        <v>1329</v>
      </c>
      <c r="B16" s="16" t="s">
        <v>95</v>
      </c>
      <c r="C16" s="16" t="str">
        <f>IFERROR(INDEX(employees!$B$2:$B$37,MATCH(B16,employees!$A$2:$A$37,0)),"")</f>
        <v>Alex Taylor</v>
      </c>
      <c r="D16" s="16" t="s">
        <v>97</v>
      </c>
      <c r="E16" s="16" t="s">
        <v>1300</v>
      </c>
      <c r="F16" s="16" t="s">
        <v>1306</v>
      </c>
      <c r="G16" s="23">
        <v>46177.648084456021</v>
      </c>
      <c r="H16" s="16" t="s">
        <v>1301</v>
      </c>
      <c r="I16" s="16" t="s">
        <v>1302</v>
      </c>
      <c r="J16" s="21">
        <v>19</v>
      </c>
      <c r="K16" s="6" t="s">
        <v>1303</v>
      </c>
    </row>
    <row r="17" spans="1:11" ht="15" customHeight="1">
      <c r="A17" s="5" t="s">
        <v>1330</v>
      </c>
      <c r="B17" s="16" t="s">
        <v>98</v>
      </c>
      <c r="C17" s="16" t="str">
        <f>IFERROR(INDEX(employees!$B$2:$B$37,MATCH(B17,employees!$A$2:$A$37,0)),"")</f>
        <v>Morgan Walker</v>
      </c>
      <c r="D17" s="16" t="s">
        <v>91</v>
      </c>
      <c r="E17" s="16" t="s">
        <v>506</v>
      </c>
      <c r="F17" s="16" t="s">
        <v>1313</v>
      </c>
      <c r="G17" s="23">
        <v>46116.014351782411</v>
      </c>
      <c r="H17" s="16" t="s">
        <v>1314</v>
      </c>
      <c r="I17" s="16" t="s">
        <v>1315</v>
      </c>
      <c r="J17" s="21">
        <v>0</v>
      </c>
      <c r="K17" s="6"/>
    </row>
    <row r="18" spans="1:11" ht="15" customHeight="1">
      <c r="A18" s="5" t="s">
        <v>1331</v>
      </c>
      <c r="B18" s="16" t="s">
        <v>100</v>
      </c>
      <c r="C18" s="16" t="str">
        <f>IFERROR(INDEX(employees!$B$2:$B$37,MATCH(B18,employees!$A$2:$A$37,0)),"")</f>
        <v>Morgan Patel</v>
      </c>
      <c r="D18" s="16" t="s">
        <v>49</v>
      </c>
      <c r="E18" s="16" t="s">
        <v>506</v>
      </c>
      <c r="F18" s="16" t="s">
        <v>1320</v>
      </c>
      <c r="G18" s="23">
        <v>46150.962639849538</v>
      </c>
      <c r="H18" s="16" t="s">
        <v>1301</v>
      </c>
      <c r="I18" s="16" t="s">
        <v>1309</v>
      </c>
      <c r="J18" s="21">
        <v>7</v>
      </c>
      <c r="K18" s="6" t="s">
        <v>510</v>
      </c>
    </row>
    <row r="19" spans="1:11" ht="15" customHeight="1">
      <c r="A19" s="5" t="s">
        <v>1332</v>
      </c>
      <c r="B19" s="16" t="s">
        <v>102</v>
      </c>
      <c r="C19" s="16" t="str">
        <f>IFERROR(INDEX(employees!$B$2:$B$37,MATCH(B19,employees!$A$2:$A$37,0)),"")</f>
        <v>Jordan Evans</v>
      </c>
      <c r="D19" s="16" t="s">
        <v>48</v>
      </c>
      <c r="E19" s="16" t="s">
        <v>506</v>
      </c>
      <c r="F19" s="16" t="s">
        <v>1306</v>
      </c>
      <c r="G19" s="23">
        <v>46184.566397499999</v>
      </c>
      <c r="H19" s="16" t="s">
        <v>1301</v>
      </c>
      <c r="I19" s="16" t="s">
        <v>1309</v>
      </c>
      <c r="J19" s="21">
        <v>18</v>
      </c>
      <c r="K19" s="6" t="s">
        <v>516</v>
      </c>
    </row>
    <row r="20" spans="1:11" ht="15" customHeight="1">
      <c r="A20" s="5" t="s">
        <v>1333</v>
      </c>
      <c r="B20" s="16" t="s">
        <v>104</v>
      </c>
      <c r="C20" s="16" t="str">
        <f>IFERROR(INDEX(employees!$B$2:$B$37,MATCH(B20,employees!$A$2:$A$37,0)),"")</f>
        <v>Cameron Nguyen</v>
      </c>
      <c r="D20" s="16" t="s">
        <v>62</v>
      </c>
      <c r="E20" s="16" t="s">
        <v>506</v>
      </c>
      <c r="F20" s="16" t="s">
        <v>1306</v>
      </c>
      <c r="G20" s="23">
        <v>46138.878602939818</v>
      </c>
      <c r="H20" s="16" t="s">
        <v>1314</v>
      </c>
      <c r="I20" s="16" t="s">
        <v>1315</v>
      </c>
      <c r="J20" s="21">
        <v>0</v>
      </c>
      <c r="K20" s="6"/>
    </row>
    <row r="21" spans="1:11" ht="15" customHeight="1">
      <c r="A21" s="5" t="s">
        <v>1334</v>
      </c>
      <c r="B21" s="16" t="s">
        <v>106</v>
      </c>
      <c r="C21" s="16" t="str">
        <f>IFERROR(INDEX(employees!$B$2:$B$37,MATCH(B21,employees!$A$2:$A$37,0)),"")</f>
        <v>Sam Singh</v>
      </c>
      <c r="D21" s="16" t="s">
        <v>49</v>
      </c>
      <c r="E21" s="16" t="s">
        <v>1305</v>
      </c>
      <c r="F21" s="16" t="s">
        <v>1313</v>
      </c>
      <c r="G21" s="23">
        <v>46152.510023101851</v>
      </c>
      <c r="H21" s="16" t="s">
        <v>1314</v>
      </c>
      <c r="I21" s="16" t="s">
        <v>1315</v>
      </c>
      <c r="J21" s="21">
        <v>0</v>
      </c>
      <c r="K21" s="6"/>
    </row>
    <row r="22" spans="1:11" ht="15" customHeight="1">
      <c r="A22" s="5" t="s">
        <v>1335</v>
      </c>
      <c r="B22" s="16" t="s">
        <v>108</v>
      </c>
      <c r="C22" s="16" t="str">
        <f>IFERROR(INDEX(employees!$B$2:$B$37,MATCH(B22,employees!$A$2:$A$37,0)),"")</f>
        <v>Jordan Patel</v>
      </c>
      <c r="D22" s="16" t="s">
        <v>48</v>
      </c>
      <c r="E22" s="16" t="s">
        <v>506</v>
      </c>
      <c r="F22" s="16" t="s">
        <v>1313</v>
      </c>
      <c r="G22" s="23">
        <v>46115.91903946759</v>
      </c>
      <c r="H22" s="16" t="s">
        <v>1311</v>
      </c>
      <c r="I22" s="16" t="s">
        <v>1302</v>
      </c>
      <c r="J22" s="21">
        <v>14</v>
      </c>
      <c r="K22" s="6" t="s">
        <v>1303</v>
      </c>
    </row>
    <row r="23" spans="1:11" ht="15" customHeight="1">
      <c r="A23" s="5" t="s">
        <v>1336</v>
      </c>
      <c r="B23" s="16" t="s">
        <v>110</v>
      </c>
      <c r="C23" s="16" t="str">
        <f>IFERROR(INDEX(employees!$B$2:$B$37,MATCH(B23,employees!$A$2:$A$37,0)),"")</f>
        <v>Morgan Morgan</v>
      </c>
      <c r="D23" s="16" t="s">
        <v>76</v>
      </c>
      <c r="E23" s="16" t="s">
        <v>1326</v>
      </c>
      <c r="F23" s="16" t="s">
        <v>1306</v>
      </c>
      <c r="G23" s="23">
        <v>45953.322452928238</v>
      </c>
      <c r="H23" s="16" t="s">
        <v>1327</v>
      </c>
      <c r="I23" s="16" t="s">
        <v>1302</v>
      </c>
      <c r="J23" s="21">
        <v>10</v>
      </c>
      <c r="K23" s="6" t="s">
        <v>523</v>
      </c>
    </row>
    <row r="24" spans="1:11" ht="15" customHeight="1">
      <c r="A24" s="5" t="s">
        <v>1337</v>
      </c>
      <c r="B24" s="16" t="s">
        <v>112</v>
      </c>
      <c r="C24" s="16" t="str">
        <f>IFERROR(INDEX(employees!$B$2:$B$37,MATCH(B24,employees!$A$2:$A$37,0)),"")</f>
        <v>Robin Taylor</v>
      </c>
      <c r="D24" s="16" t="s">
        <v>76</v>
      </c>
      <c r="E24" s="16" t="s">
        <v>506</v>
      </c>
      <c r="F24" s="16" t="s">
        <v>1313</v>
      </c>
      <c r="G24" s="23">
        <v>46177.332405358793</v>
      </c>
      <c r="H24" s="16" t="s">
        <v>1318</v>
      </c>
      <c r="I24" s="16" t="s">
        <v>1302</v>
      </c>
      <c r="J24" s="21">
        <v>9</v>
      </c>
      <c r="K24" s="6" t="s">
        <v>516</v>
      </c>
    </row>
    <row r="25" spans="1:11" ht="15" customHeight="1">
      <c r="A25" s="5" t="s">
        <v>1338</v>
      </c>
      <c r="B25" s="16" t="s">
        <v>114</v>
      </c>
      <c r="C25" s="16" t="str">
        <f>IFERROR(INDEX(employees!$B$2:$B$37,MATCH(B25,employees!$A$2:$A$37,0)),"")</f>
        <v>Cameron Shah</v>
      </c>
      <c r="D25" s="16" t="s">
        <v>91</v>
      </c>
      <c r="E25" s="16" t="s">
        <v>506</v>
      </c>
      <c r="F25" s="16" t="s">
        <v>1306</v>
      </c>
      <c r="G25" s="23">
        <v>46189.74393971065</v>
      </c>
      <c r="H25" s="16" t="s">
        <v>1314</v>
      </c>
      <c r="I25" s="16" t="s">
        <v>1315</v>
      </c>
      <c r="J25" s="21">
        <v>0</v>
      </c>
      <c r="K25" s="6"/>
    </row>
    <row r="26" spans="1:11" ht="15" customHeight="1">
      <c r="A26" s="5" t="s">
        <v>1339</v>
      </c>
      <c r="B26" s="16" t="s">
        <v>116</v>
      </c>
      <c r="C26" s="16" t="str">
        <f>IFERROR(INDEX(employees!$B$2:$B$37,MATCH(B26,employees!$A$2:$A$37,0)),"")</f>
        <v>Casey Khan</v>
      </c>
      <c r="D26" s="16" t="s">
        <v>76</v>
      </c>
      <c r="E26" s="16" t="s">
        <v>506</v>
      </c>
      <c r="F26" s="16" t="s">
        <v>1320</v>
      </c>
      <c r="G26" s="23">
        <v>46143.377225648146</v>
      </c>
      <c r="H26" s="16" t="s">
        <v>1301</v>
      </c>
      <c r="I26" s="16" t="s">
        <v>1309</v>
      </c>
      <c r="J26" s="21">
        <v>1</v>
      </c>
      <c r="K26" s="6" t="s">
        <v>516</v>
      </c>
    </row>
    <row r="27" spans="1:11" ht="15" customHeight="1">
      <c r="A27" s="5" t="s">
        <v>1340</v>
      </c>
      <c r="B27" s="16" t="s">
        <v>118</v>
      </c>
      <c r="C27" s="16" t="str">
        <f>IFERROR(INDEX(employees!$B$2:$B$37,MATCH(B27,employees!$A$2:$A$37,0)),"")</f>
        <v>Avery Evans</v>
      </c>
      <c r="D27" s="16" t="s">
        <v>62</v>
      </c>
      <c r="E27" s="16" t="s">
        <v>1305</v>
      </c>
      <c r="F27" s="16" t="s">
        <v>158</v>
      </c>
      <c r="G27" s="23">
        <v>46165.392755115739</v>
      </c>
      <c r="H27" s="16" t="s">
        <v>1301</v>
      </c>
      <c r="I27" s="16" t="s">
        <v>1309</v>
      </c>
      <c r="J27" s="21">
        <v>3</v>
      </c>
      <c r="K27" s="6" t="s">
        <v>1303</v>
      </c>
    </row>
    <row r="28" spans="1:11" ht="15" customHeight="1">
      <c r="A28" s="5" t="s">
        <v>1341</v>
      </c>
      <c r="B28" s="16" t="s">
        <v>120</v>
      </c>
      <c r="C28" s="16" t="str">
        <f>IFERROR(INDEX(employees!$B$2:$B$37,MATCH(B28,employees!$A$2:$A$37,0)),"")</f>
        <v>Drew Singh</v>
      </c>
      <c r="D28" s="16" t="s">
        <v>62</v>
      </c>
      <c r="E28" s="16" t="s">
        <v>523</v>
      </c>
      <c r="F28" s="16" t="s">
        <v>1313</v>
      </c>
      <c r="G28" s="23">
        <v>46178.235202928241</v>
      </c>
      <c r="H28" s="16" t="s">
        <v>1318</v>
      </c>
      <c r="I28" s="16" t="s">
        <v>1309</v>
      </c>
      <c r="J28" s="21">
        <v>7</v>
      </c>
      <c r="K28" s="6" t="s">
        <v>516</v>
      </c>
    </row>
    <row r="29" spans="1:11" ht="15" customHeight="1">
      <c r="A29" s="5" t="s">
        <v>1342</v>
      </c>
      <c r="B29" s="16" t="s">
        <v>122</v>
      </c>
      <c r="C29" s="16" t="str">
        <f>IFERROR(INDEX(employees!$B$2:$B$37,MATCH(B29,employees!$A$2:$A$37,0)),"")</f>
        <v>Alex Morgan</v>
      </c>
      <c r="D29" s="16" t="s">
        <v>91</v>
      </c>
      <c r="E29" s="16" t="s">
        <v>1305</v>
      </c>
      <c r="F29" s="16" t="s">
        <v>1306</v>
      </c>
      <c r="G29" s="23">
        <v>46183.987975497686</v>
      </c>
      <c r="H29" s="16" t="s">
        <v>1308</v>
      </c>
      <c r="I29" s="16" t="s">
        <v>515</v>
      </c>
      <c r="J29" s="21">
        <v>9</v>
      </c>
      <c r="K29" s="6" t="s">
        <v>1303</v>
      </c>
    </row>
    <row r="30" spans="1:11" ht="15" customHeight="1">
      <c r="A30" s="5" t="s">
        <v>1343</v>
      </c>
      <c r="B30" s="16" t="s">
        <v>124</v>
      </c>
      <c r="C30" s="16" t="str">
        <f>IFERROR(INDEX(employees!$B$2:$B$37,MATCH(B30,employees!$A$2:$A$37,0)),"")</f>
        <v>Jamie Nguyen</v>
      </c>
      <c r="D30" s="16" t="s">
        <v>97</v>
      </c>
      <c r="E30" s="16" t="s">
        <v>506</v>
      </c>
      <c r="F30" s="16" t="s">
        <v>1313</v>
      </c>
      <c r="G30" s="23">
        <v>46143.89093721065</v>
      </c>
      <c r="H30" s="16" t="s">
        <v>1308</v>
      </c>
      <c r="I30" s="16" t="s">
        <v>515</v>
      </c>
      <c r="J30" s="21">
        <v>20</v>
      </c>
      <c r="K30" s="6" t="s">
        <v>1303</v>
      </c>
    </row>
    <row r="31" spans="1:11" ht="15" customHeight="1">
      <c r="A31" s="5" t="s">
        <v>1344</v>
      </c>
      <c r="B31" s="16" t="s">
        <v>126</v>
      </c>
      <c r="C31" s="16" t="str">
        <f>IFERROR(INDEX(employees!$B$2:$B$37,MATCH(B31,employees!$A$2:$A$37,0)),"")</f>
        <v>Avery Nguyen</v>
      </c>
      <c r="D31" s="16" t="s">
        <v>48</v>
      </c>
      <c r="E31" s="16" t="s">
        <v>523</v>
      </c>
      <c r="F31" s="16" t="s">
        <v>158</v>
      </c>
      <c r="G31" s="23">
        <v>46120.51858103009</v>
      </c>
      <c r="H31" s="16" t="s">
        <v>1301</v>
      </c>
      <c r="I31" s="16" t="s">
        <v>1309</v>
      </c>
      <c r="J31" s="21">
        <v>8</v>
      </c>
      <c r="K31" s="6" t="s">
        <v>516</v>
      </c>
    </row>
    <row r="32" spans="1:11" ht="15" customHeight="1">
      <c r="A32" s="5" t="s">
        <v>1345</v>
      </c>
      <c r="B32" s="16" t="s">
        <v>128</v>
      </c>
      <c r="C32" s="16" t="str">
        <f>IFERROR(INDEX(employees!$B$2:$B$37,MATCH(B32,employees!$A$2:$A$37,0)),"")</f>
        <v>Morgan Patel</v>
      </c>
      <c r="D32" s="16" t="s">
        <v>97</v>
      </c>
      <c r="E32" s="16" t="s">
        <v>1326</v>
      </c>
      <c r="F32" s="16" t="s">
        <v>158</v>
      </c>
      <c r="G32" s="23">
        <v>45934.583408865743</v>
      </c>
      <c r="H32" s="16" t="s">
        <v>1327</v>
      </c>
      <c r="I32" s="16" t="s">
        <v>1309</v>
      </c>
      <c r="J32" s="21">
        <v>1</v>
      </c>
      <c r="K32" s="6" t="s">
        <v>1303</v>
      </c>
    </row>
    <row r="33" spans="1:11" ht="15" customHeight="1">
      <c r="A33" s="5" t="s">
        <v>1346</v>
      </c>
      <c r="B33" s="16" t="s">
        <v>129</v>
      </c>
      <c r="C33" s="16" t="str">
        <f>IFERROR(INDEX(employees!$B$2:$B$37,MATCH(B33,employees!$A$2:$A$37,0)),"")</f>
        <v>Avery Singh</v>
      </c>
      <c r="D33" s="16" t="s">
        <v>62</v>
      </c>
      <c r="E33" s="16" t="s">
        <v>1305</v>
      </c>
      <c r="F33" s="16" t="s">
        <v>1313</v>
      </c>
      <c r="G33" s="23">
        <v>46177.006194004629</v>
      </c>
      <c r="H33" s="16" t="s">
        <v>1301</v>
      </c>
      <c r="I33" s="16" t="s">
        <v>515</v>
      </c>
      <c r="J33" s="21">
        <v>1</v>
      </c>
      <c r="K33" s="6" t="s">
        <v>1303</v>
      </c>
    </row>
    <row r="34" spans="1:11" ht="15" customHeight="1">
      <c r="A34" s="5" t="s">
        <v>1347</v>
      </c>
      <c r="B34" s="16" t="s">
        <v>131</v>
      </c>
      <c r="C34" s="16" t="str">
        <f>IFERROR(INDEX(employees!$B$2:$B$37,MATCH(B34,employees!$A$2:$A$37,0)),"")</f>
        <v>Taylor Brown</v>
      </c>
      <c r="D34" s="16" t="s">
        <v>97</v>
      </c>
      <c r="E34" s="16" t="s">
        <v>1300</v>
      </c>
      <c r="F34" s="16" t="s">
        <v>1306</v>
      </c>
      <c r="G34" s="23">
        <v>46161.488942847223</v>
      </c>
      <c r="H34" s="16" t="s">
        <v>1308</v>
      </c>
      <c r="I34" s="16" t="s">
        <v>1309</v>
      </c>
      <c r="J34" s="21">
        <v>18</v>
      </c>
      <c r="K34" s="6" t="s">
        <v>523</v>
      </c>
    </row>
    <row r="35" spans="1:11" ht="15" customHeight="1">
      <c r="A35" s="5" t="s">
        <v>1348</v>
      </c>
      <c r="B35" s="16" t="s">
        <v>133</v>
      </c>
      <c r="C35" s="16" t="str">
        <f>IFERROR(INDEX(employees!$B$2:$B$37,MATCH(B35,employees!$A$2:$A$37,0)),"")</f>
        <v>Jordan Patel</v>
      </c>
      <c r="D35" s="16" t="s">
        <v>62</v>
      </c>
      <c r="E35" s="16" t="s">
        <v>1326</v>
      </c>
      <c r="F35" s="16" t="s">
        <v>1320</v>
      </c>
      <c r="G35" s="23">
        <v>45960.123321736108</v>
      </c>
      <c r="H35" s="16" t="s">
        <v>1327</v>
      </c>
      <c r="I35" s="16" t="s">
        <v>1309</v>
      </c>
      <c r="J35" s="21">
        <v>13</v>
      </c>
      <c r="K35" s="6" t="s">
        <v>1303</v>
      </c>
    </row>
    <row r="36" spans="1:11" ht="15" customHeight="1">
      <c r="A36" s="5" t="s">
        <v>1349</v>
      </c>
      <c r="B36" s="16" t="s">
        <v>134</v>
      </c>
      <c r="C36" s="16" t="str">
        <f>IFERROR(INDEX(employees!$B$2:$B$37,MATCH(B36,employees!$A$2:$A$37,0)),"")</f>
        <v>Avery Williams</v>
      </c>
      <c r="D36" s="16" t="s">
        <v>62</v>
      </c>
      <c r="E36" s="16" t="s">
        <v>1300</v>
      </c>
      <c r="F36" s="16" t="s">
        <v>1306</v>
      </c>
      <c r="G36" s="23">
        <v>46184.530627789354</v>
      </c>
      <c r="H36" s="16" t="s">
        <v>1311</v>
      </c>
      <c r="I36" s="16" t="s">
        <v>515</v>
      </c>
      <c r="J36" s="21">
        <v>8</v>
      </c>
      <c r="K36" s="6" t="s">
        <v>510</v>
      </c>
    </row>
    <row r="37" spans="1:11" ht="15" customHeight="1">
      <c r="A37" s="7" t="s">
        <v>1350</v>
      </c>
      <c r="B37" s="17" t="s">
        <v>136</v>
      </c>
      <c r="C37" s="17" t="str">
        <f>IFERROR(INDEX(employees!$B$2:$B$37,MATCH(B37,employees!$A$2:$A$37,0)),"")</f>
        <v>Robin Patel</v>
      </c>
      <c r="D37" s="17" t="s">
        <v>48</v>
      </c>
      <c r="E37" s="17" t="s">
        <v>506</v>
      </c>
      <c r="F37" s="17" t="s">
        <v>158</v>
      </c>
      <c r="G37" s="24">
        <v>46129.748359976853</v>
      </c>
      <c r="H37" s="17" t="s">
        <v>1314</v>
      </c>
      <c r="I37" s="17" t="s">
        <v>1315</v>
      </c>
      <c r="J37" s="22">
        <v>0</v>
      </c>
      <c r="K37" s="8"/>
    </row>
  </sheetData>
  <dataValidations count="1">
    <dataValidation type="list" sqref="I2:I37" xr:uid="{00000000-0002-0000-0800-000000000000}">
      <formula1>"Open,In Progress,Escalated,Closed"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9"/>
  <sheetViews>
    <sheetView showGridLines="0" workbookViewId="0"/>
  </sheetViews>
  <sheetFormatPr defaultRowHeight="13.5"/>
  <cols>
    <col min="1" max="1" width="7.5" customWidth="1"/>
    <col min="2" max="2" width="16.125" customWidth="1"/>
    <col min="3" max="3" width="21.375" customWidth="1"/>
    <col min="4" max="4" width="17.25" customWidth="1"/>
    <col min="5" max="5" width="10.375" customWidth="1"/>
    <col min="6" max="6" width="11.5" customWidth="1"/>
    <col min="7" max="7" width="11" customWidth="1"/>
    <col min="8" max="8" width="20" customWidth="1"/>
    <col min="9" max="9" width="17.375" customWidth="1"/>
    <col min="10" max="10" width="15" customWidth="1"/>
  </cols>
  <sheetData>
    <row r="1" spans="1:10" ht="15" customHeight="1">
      <c r="A1" s="9" t="s">
        <v>1351</v>
      </c>
      <c r="B1" s="18" t="s">
        <v>39</v>
      </c>
      <c r="C1" s="18" t="s">
        <v>140</v>
      </c>
      <c r="D1" s="18" t="s">
        <v>1352</v>
      </c>
      <c r="E1" s="18" t="s">
        <v>1353</v>
      </c>
      <c r="F1" s="18" t="s">
        <v>499</v>
      </c>
      <c r="G1" s="18" t="s">
        <v>1354</v>
      </c>
      <c r="H1" s="18" t="s">
        <v>1355</v>
      </c>
      <c r="I1" s="18" t="s">
        <v>1356</v>
      </c>
      <c r="J1" s="10" t="s">
        <v>1357</v>
      </c>
    </row>
    <row r="2" spans="1:10" ht="15" customHeight="1">
      <c r="A2" s="5" t="s">
        <v>1358</v>
      </c>
      <c r="B2" s="16" t="s">
        <v>91</v>
      </c>
      <c r="C2" s="16" t="s">
        <v>146</v>
      </c>
      <c r="D2" s="27">
        <v>0.70906406277790657</v>
      </c>
      <c r="E2" s="16" t="s">
        <v>1359</v>
      </c>
      <c r="F2" s="16" t="s">
        <v>67</v>
      </c>
      <c r="G2" s="16" t="s">
        <v>1360</v>
      </c>
      <c r="H2" s="16" t="s">
        <v>1361</v>
      </c>
      <c r="I2" s="27">
        <f>IFERROR(COUNTIFS(assessments!$D$2:$D$264,B2,assessments!$H$2:$H$264,C2,assessments!$Q$2:$Q$264,"Ready")/COUNTIFS(assessments!$D$2:$D$264,B2,assessments!$H$2:$H$264,C2),0)</f>
        <v>0</v>
      </c>
      <c r="J2" s="29">
        <f t="shared" ref="J2:J39" si="0">I2-D2</f>
        <v>-0.70906406277790657</v>
      </c>
    </row>
    <row r="3" spans="1:10" ht="15" customHeight="1">
      <c r="A3" s="5" t="s">
        <v>1362</v>
      </c>
      <c r="B3" s="16" t="s">
        <v>91</v>
      </c>
      <c r="C3" s="16" t="s">
        <v>155</v>
      </c>
      <c r="D3" s="27">
        <v>0.75446741194464262</v>
      </c>
      <c r="E3" s="16" t="s">
        <v>1359</v>
      </c>
      <c r="F3" s="16" t="s">
        <v>83</v>
      </c>
      <c r="G3" s="16" t="s">
        <v>1363</v>
      </c>
      <c r="H3" s="16" t="s">
        <v>1364</v>
      </c>
      <c r="I3" s="27">
        <f>IFERROR(COUNTIFS(assessments!$D$2:$D$264,B3,assessments!$H$2:$H$264,C3,assessments!$Q$2:$Q$264,"Ready")/COUNTIFS(assessments!$D$2:$D$264,B3,assessments!$H$2:$H$264,C3),0)</f>
        <v>0.33333333333333331</v>
      </c>
      <c r="J3" s="29">
        <f t="shared" si="0"/>
        <v>-0.4211340786113093</v>
      </c>
    </row>
    <row r="4" spans="1:10" ht="15" customHeight="1">
      <c r="A4" s="5" t="s">
        <v>1365</v>
      </c>
      <c r="B4" s="16" t="s">
        <v>91</v>
      </c>
      <c r="C4" s="16" t="s">
        <v>158</v>
      </c>
      <c r="D4" s="27">
        <v>0.83680659364908927</v>
      </c>
      <c r="E4" s="16" t="s">
        <v>1359</v>
      </c>
      <c r="F4" s="16" t="s">
        <v>57</v>
      </c>
      <c r="G4" s="16" t="s">
        <v>1360</v>
      </c>
      <c r="H4" s="16" t="s">
        <v>1366</v>
      </c>
      <c r="I4" s="27">
        <f>IFERROR(COUNTIFS(assessments!$D$2:$D$264,B4,assessments!$H$2:$H$264,C4,assessments!$Q$2:$Q$264,"Ready")/COUNTIFS(assessments!$D$2:$D$264,B4,assessments!$H$2:$H$264,C4),0)</f>
        <v>0</v>
      </c>
      <c r="J4" s="29">
        <f t="shared" si="0"/>
        <v>-0.83680659364908927</v>
      </c>
    </row>
    <row r="5" spans="1:10" ht="15" customHeight="1">
      <c r="A5" s="5" t="s">
        <v>1367</v>
      </c>
      <c r="B5" s="16" t="s">
        <v>91</v>
      </c>
      <c r="C5" s="16" t="s">
        <v>164</v>
      </c>
      <c r="D5" s="27">
        <v>0.81360088507644823</v>
      </c>
      <c r="E5" s="16" t="s">
        <v>1368</v>
      </c>
      <c r="F5" s="16" t="s">
        <v>77</v>
      </c>
      <c r="G5" s="16" t="s">
        <v>1369</v>
      </c>
      <c r="H5" s="16" t="s">
        <v>1370</v>
      </c>
      <c r="I5" s="27">
        <f>IFERROR(COUNTIFS(assessments!$D$2:$D$264,B5,assessments!$H$2:$H$264,C5,assessments!$Q$2:$Q$264,"Ready")/COUNTIFS(assessments!$D$2:$D$264,B5,assessments!$H$2:$H$264,C5),0)</f>
        <v>0.33333333333333331</v>
      </c>
      <c r="J5" s="29">
        <f t="shared" si="0"/>
        <v>-0.48026755174311492</v>
      </c>
    </row>
    <row r="6" spans="1:10" ht="15" customHeight="1">
      <c r="A6" s="5" t="s">
        <v>1371</v>
      </c>
      <c r="B6" s="16" t="s">
        <v>91</v>
      </c>
      <c r="C6" s="16" t="s">
        <v>66</v>
      </c>
      <c r="D6" s="27">
        <v>0.78618621630594132</v>
      </c>
      <c r="E6" s="16" t="s">
        <v>1368</v>
      </c>
      <c r="F6" s="16" t="s">
        <v>67</v>
      </c>
      <c r="G6" s="16" t="s">
        <v>1369</v>
      </c>
      <c r="H6" s="16" t="s">
        <v>1372</v>
      </c>
      <c r="I6" s="27">
        <f>IFERROR(COUNTIFS(assessments!$D$2:$D$264,B6,assessments!$H$2:$H$264,C6,assessments!$Q$2:$Q$264,"Ready")/COUNTIFS(assessments!$D$2:$D$264,B6,assessments!$H$2:$H$264,C6),0)</f>
        <v>0</v>
      </c>
      <c r="J6" s="29">
        <f t="shared" si="0"/>
        <v>-0.78618621630594132</v>
      </c>
    </row>
    <row r="7" spans="1:10" ht="15" customHeight="1">
      <c r="A7" s="5" t="s">
        <v>1373</v>
      </c>
      <c r="B7" s="16" t="s">
        <v>91</v>
      </c>
      <c r="C7" s="16" t="s">
        <v>176</v>
      </c>
      <c r="D7" s="27">
        <v>0.75319220726378255</v>
      </c>
      <c r="E7" s="16" t="s">
        <v>1359</v>
      </c>
      <c r="F7" s="16" t="s">
        <v>77</v>
      </c>
      <c r="G7" s="16" t="s">
        <v>1369</v>
      </c>
      <c r="H7" s="16" t="s">
        <v>1372</v>
      </c>
      <c r="I7" s="27">
        <f>IFERROR(COUNTIFS(assessments!$D$2:$D$264,B7,assessments!$H$2:$H$264,C7,assessments!$Q$2:$Q$264,"Ready")/COUNTIFS(assessments!$D$2:$D$264,B7,assessments!$H$2:$H$264,C7),0)</f>
        <v>0.25</v>
      </c>
      <c r="J7" s="29">
        <f t="shared" si="0"/>
        <v>-0.50319220726378255</v>
      </c>
    </row>
    <row r="8" spans="1:10" ht="15" customHeight="1">
      <c r="A8" s="5" t="s">
        <v>1374</v>
      </c>
      <c r="B8" s="16" t="s">
        <v>91</v>
      </c>
      <c r="C8" s="16" t="s">
        <v>190</v>
      </c>
      <c r="D8" s="27">
        <v>0.80214390903711319</v>
      </c>
      <c r="E8" s="16" t="s">
        <v>1368</v>
      </c>
      <c r="F8" s="16" t="s">
        <v>57</v>
      </c>
      <c r="G8" s="16" t="s">
        <v>1369</v>
      </c>
      <c r="H8" s="16" t="s">
        <v>1370</v>
      </c>
      <c r="I8" s="27">
        <f>IFERROR(COUNTIFS(assessments!$D$2:$D$264,B8,assessments!$H$2:$H$264,C8,assessments!$Q$2:$Q$264,"Ready")/COUNTIFS(assessments!$D$2:$D$264,B8,assessments!$H$2:$H$264,C8),0)</f>
        <v>1</v>
      </c>
      <c r="J8" s="29">
        <f t="shared" si="0"/>
        <v>0.19785609096288681</v>
      </c>
    </row>
    <row r="9" spans="1:10" ht="15" customHeight="1">
      <c r="A9" s="5" t="s">
        <v>1375</v>
      </c>
      <c r="B9" s="16" t="s">
        <v>76</v>
      </c>
      <c r="C9" s="16" t="s">
        <v>146</v>
      </c>
      <c r="D9" s="27">
        <v>0.74454195080325003</v>
      </c>
      <c r="E9" s="16" t="s">
        <v>1359</v>
      </c>
      <c r="F9" s="16" t="s">
        <v>51</v>
      </c>
      <c r="G9" s="16" t="s">
        <v>1360</v>
      </c>
      <c r="H9" s="16" t="s">
        <v>1370</v>
      </c>
      <c r="I9" s="27">
        <f>IFERROR(COUNTIFS(assessments!$D$2:$D$264,B9,assessments!$H$2:$H$264,C9,assessments!$Q$2:$Q$264,"Ready")/COUNTIFS(assessments!$D$2:$D$264,B9,assessments!$H$2:$H$264,C9),0)</f>
        <v>0.5</v>
      </c>
      <c r="J9" s="29">
        <f t="shared" si="0"/>
        <v>-0.24454195080325003</v>
      </c>
    </row>
    <row r="10" spans="1:10" ht="15" customHeight="1">
      <c r="A10" s="5" t="s">
        <v>1376</v>
      </c>
      <c r="B10" s="16" t="s">
        <v>76</v>
      </c>
      <c r="C10" s="16" t="s">
        <v>155</v>
      </c>
      <c r="D10" s="27">
        <v>0.84084222693927579</v>
      </c>
      <c r="E10" s="16" t="s">
        <v>1359</v>
      </c>
      <c r="F10" s="16" t="s">
        <v>83</v>
      </c>
      <c r="G10" s="16" t="s">
        <v>1363</v>
      </c>
      <c r="H10" s="16" t="s">
        <v>1372</v>
      </c>
      <c r="I10" s="27">
        <f>IFERROR(COUNTIFS(assessments!$D$2:$D$264,B10,assessments!$H$2:$H$264,C10,assessments!$Q$2:$Q$264,"Ready")/COUNTIFS(assessments!$D$2:$D$264,B10,assessments!$H$2:$H$264,C10),0)</f>
        <v>0.2</v>
      </c>
      <c r="J10" s="29">
        <f t="shared" si="0"/>
        <v>-0.64084222693927573</v>
      </c>
    </row>
    <row r="11" spans="1:10" ht="15" customHeight="1">
      <c r="A11" s="5" t="s">
        <v>1377</v>
      </c>
      <c r="B11" s="16" t="s">
        <v>76</v>
      </c>
      <c r="C11" s="16" t="s">
        <v>158</v>
      </c>
      <c r="D11" s="27">
        <v>0.87692490145564073</v>
      </c>
      <c r="E11" s="16" t="s">
        <v>1368</v>
      </c>
      <c r="F11" s="16" t="s">
        <v>67</v>
      </c>
      <c r="G11" s="16" t="s">
        <v>1369</v>
      </c>
      <c r="H11" s="16" t="s">
        <v>1364</v>
      </c>
      <c r="I11" s="27">
        <f>IFERROR(COUNTIFS(assessments!$D$2:$D$264,B11,assessments!$H$2:$H$264,C11,assessments!$Q$2:$Q$264,"Ready")/COUNTIFS(assessments!$D$2:$D$264,B11,assessments!$H$2:$H$264,C11),0)</f>
        <v>1</v>
      </c>
      <c r="J11" s="29">
        <f t="shared" si="0"/>
        <v>0.12307509854435927</v>
      </c>
    </row>
    <row r="12" spans="1:10" ht="15" customHeight="1">
      <c r="A12" s="5" t="s">
        <v>1378</v>
      </c>
      <c r="B12" s="16" t="s">
        <v>76</v>
      </c>
      <c r="C12" s="16" t="s">
        <v>164</v>
      </c>
      <c r="D12" s="27">
        <v>0.72686249851249152</v>
      </c>
      <c r="E12" s="16" t="s">
        <v>1368</v>
      </c>
      <c r="F12" s="16" t="s">
        <v>51</v>
      </c>
      <c r="G12" s="16" t="s">
        <v>1363</v>
      </c>
      <c r="H12" s="16" t="s">
        <v>1364</v>
      </c>
      <c r="I12" s="27">
        <f>IFERROR(COUNTIFS(assessments!$D$2:$D$264,B12,assessments!$H$2:$H$264,C12,assessments!$Q$2:$Q$264,"Ready")/COUNTIFS(assessments!$D$2:$D$264,B12,assessments!$H$2:$H$264,C12),0)</f>
        <v>0</v>
      </c>
      <c r="J12" s="29">
        <f t="shared" si="0"/>
        <v>-0.72686249851249152</v>
      </c>
    </row>
    <row r="13" spans="1:10" ht="15" customHeight="1">
      <c r="A13" s="5" t="s">
        <v>1379</v>
      </c>
      <c r="B13" s="16" t="s">
        <v>76</v>
      </c>
      <c r="C13" s="16" t="s">
        <v>66</v>
      </c>
      <c r="D13" s="27">
        <v>0.82350834654644123</v>
      </c>
      <c r="E13" s="16" t="s">
        <v>1368</v>
      </c>
      <c r="F13" s="16" t="s">
        <v>57</v>
      </c>
      <c r="G13" s="16" t="s">
        <v>1363</v>
      </c>
      <c r="H13" s="16" t="s">
        <v>1366</v>
      </c>
      <c r="I13" s="27">
        <f>IFERROR(COUNTIFS(assessments!$D$2:$D$264,B13,assessments!$H$2:$H$264,C13,assessments!$Q$2:$Q$264,"Ready")/COUNTIFS(assessments!$D$2:$D$264,B13,assessments!$H$2:$H$264,C13),0)</f>
        <v>1</v>
      </c>
      <c r="J13" s="29">
        <f t="shared" si="0"/>
        <v>0.17649165345355877</v>
      </c>
    </row>
    <row r="14" spans="1:10" ht="15" customHeight="1">
      <c r="A14" s="5" t="s">
        <v>1380</v>
      </c>
      <c r="B14" s="16" t="s">
        <v>76</v>
      </c>
      <c r="C14" s="16" t="s">
        <v>176</v>
      </c>
      <c r="D14" s="27">
        <v>0.80869507365860038</v>
      </c>
      <c r="E14" s="16" t="s">
        <v>1368</v>
      </c>
      <c r="F14" s="16" t="s">
        <v>83</v>
      </c>
      <c r="G14" s="16" t="s">
        <v>1360</v>
      </c>
      <c r="H14" s="16" t="s">
        <v>1372</v>
      </c>
      <c r="I14" s="27">
        <f>IFERROR(COUNTIFS(assessments!$D$2:$D$264,B14,assessments!$H$2:$H$264,C14,assessments!$Q$2:$Q$264,"Ready")/COUNTIFS(assessments!$D$2:$D$264,B14,assessments!$H$2:$H$264,C14),0)</f>
        <v>0</v>
      </c>
      <c r="J14" s="29">
        <f t="shared" si="0"/>
        <v>-0.80869507365860038</v>
      </c>
    </row>
    <row r="15" spans="1:10" ht="15" customHeight="1">
      <c r="A15" s="5" t="s">
        <v>1381</v>
      </c>
      <c r="B15" s="16" t="s">
        <v>62</v>
      </c>
      <c r="C15" s="16" t="s">
        <v>146</v>
      </c>
      <c r="D15" s="27">
        <v>0.87522347881458695</v>
      </c>
      <c r="E15" s="16" t="s">
        <v>1368</v>
      </c>
      <c r="F15" s="16" t="s">
        <v>86</v>
      </c>
      <c r="G15" s="16" t="s">
        <v>1363</v>
      </c>
      <c r="H15" s="16" t="s">
        <v>1366</v>
      </c>
      <c r="I15" s="27">
        <f>IFERROR(COUNTIFS(assessments!$D$2:$D$264,B15,assessments!$H$2:$H$264,C15,assessments!$Q$2:$Q$264,"Ready")/COUNTIFS(assessments!$D$2:$D$264,B15,assessments!$H$2:$H$264,C15),0)</f>
        <v>0</v>
      </c>
      <c r="J15" s="29">
        <f t="shared" si="0"/>
        <v>-0.87522347881458695</v>
      </c>
    </row>
    <row r="16" spans="1:10" ht="15" customHeight="1">
      <c r="A16" s="5" t="s">
        <v>1382</v>
      </c>
      <c r="B16" s="16" t="s">
        <v>62</v>
      </c>
      <c r="C16" s="16" t="s">
        <v>155</v>
      </c>
      <c r="D16" s="27">
        <v>0.75916697802022093</v>
      </c>
      <c r="E16" s="16" t="s">
        <v>1368</v>
      </c>
      <c r="F16" s="16" t="s">
        <v>86</v>
      </c>
      <c r="G16" s="16" t="s">
        <v>1363</v>
      </c>
      <c r="H16" s="16" t="s">
        <v>1372</v>
      </c>
      <c r="I16" s="27">
        <f>IFERROR(COUNTIFS(assessments!$D$2:$D$264,B16,assessments!$H$2:$H$264,C16,assessments!$Q$2:$Q$264,"Ready")/COUNTIFS(assessments!$D$2:$D$264,B16,assessments!$H$2:$H$264,C16),0)</f>
        <v>0.4</v>
      </c>
      <c r="J16" s="29">
        <f t="shared" si="0"/>
        <v>-0.35916697802022091</v>
      </c>
    </row>
    <row r="17" spans="1:10" ht="15" customHeight="1">
      <c r="A17" s="5" t="s">
        <v>1383</v>
      </c>
      <c r="B17" s="16" t="s">
        <v>62</v>
      </c>
      <c r="C17" s="16" t="s">
        <v>158</v>
      </c>
      <c r="D17" s="27">
        <v>0.82020689495839172</v>
      </c>
      <c r="E17" s="16" t="s">
        <v>1359</v>
      </c>
      <c r="F17" s="16" t="s">
        <v>83</v>
      </c>
      <c r="G17" s="16" t="s">
        <v>1363</v>
      </c>
      <c r="H17" s="16" t="s">
        <v>1370</v>
      </c>
      <c r="I17" s="27">
        <f>IFERROR(COUNTIFS(assessments!$D$2:$D$264,B17,assessments!$H$2:$H$264,C17,assessments!$Q$2:$Q$264,"Ready")/COUNTIFS(assessments!$D$2:$D$264,B17,assessments!$H$2:$H$264,C17),0)</f>
        <v>0.5</v>
      </c>
      <c r="J17" s="29">
        <f t="shared" si="0"/>
        <v>-0.32020689495839172</v>
      </c>
    </row>
    <row r="18" spans="1:10" ht="15" customHeight="1">
      <c r="A18" s="5" t="s">
        <v>1384</v>
      </c>
      <c r="B18" s="16" t="s">
        <v>62</v>
      </c>
      <c r="C18" s="16" t="s">
        <v>164</v>
      </c>
      <c r="D18" s="27">
        <v>0.7320490034297108</v>
      </c>
      <c r="E18" s="16" t="s">
        <v>1359</v>
      </c>
      <c r="F18" s="16" t="s">
        <v>51</v>
      </c>
      <c r="G18" s="16" t="s">
        <v>1363</v>
      </c>
      <c r="H18" s="16" t="s">
        <v>1366</v>
      </c>
      <c r="I18" s="27">
        <f>IFERROR(COUNTIFS(assessments!$D$2:$D$264,B18,assessments!$H$2:$H$264,C18,assessments!$Q$2:$Q$264,"Ready")/COUNTIFS(assessments!$D$2:$D$264,B18,assessments!$H$2:$H$264,C18),0)</f>
        <v>0.14285714285714285</v>
      </c>
      <c r="J18" s="29">
        <f t="shared" si="0"/>
        <v>-0.58919186057256789</v>
      </c>
    </row>
    <row r="19" spans="1:10" ht="15" customHeight="1">
      <c r="A19" s="5" t="s">
        <v>1385</v>
      </c>
      <c r="B19" s="16" t="s">
        <v>62</v>
      </c>
      <c r="C19" s="16" t="s">
        <v>66</v>
      </c>
      <c r="D19" s="27">
        <v>0.87446301835589102</v>
      </c>
      <c r="E19" s="16" t="s">
        <v>1368</v>
      </c>
      <c r="F19" s="16" t="s">
        <v>83</v>
      </c>
      <c r="G19" s="16" t="s">
        <v>1363</v>
      </c>
      <c r="H19" s="16" t="s">
        <v>1364</v>
      </c>
      <c r="I19" s="27">
        <f>IFERROR(COUNTIFS(assessments!$D$2:$D$264,B19,assessments!$H$2:$H$264,C19,assessments!$Q$2:$Q$264,"Ready")/COUNTIFS(assessments!$D$2:$D$264,B19,assessments!$H$2:$H$264,C19),0)</f>
        <v>0.16666666666666666</v>
      </c>
      <c r="J19" s="29">
        <f t="shared" si="0"/>
        <v>-0.70779635168922439</v>
      </c>
    </row>
    <row r="20" spans="1:10" ht="15" customHeight="1">
      <c r="A20" s="5" t="s">
        <v>1386</v>
      </c>
      <c r="B20" s="16" t="s">
        <v>62</v>
      </c>
      <c r="C20" s="16" t="s">
        <v>176</v>
      </c>
      <c r="D20" s="27">
        <v>0.72525331368669865</v>
      </c>
      <c r="E20" s="16" t="s">
        <v>1359</v>
      </c>
      <c r="F20" s="16" t="s">
        <v>86</v>
      </c>
      <c r="G20" s="16" t="s">
        <v>1360</v>
      </c>
      <c r="H20" s="16" t="s">
        <v>1361</v>
      </c>
      <c r="I20" s="27">
        <f>IFERROR(COUNTIFS(assessments!$D$2:$D$264,B20,assessments!$H$2:$H$264,C20,assessments!$Q$2:$Q$264,"Ready")/COUNTIFS(assessments!$D$2:$D$264,B20,assessments!$H$2:$H$264,C20),0)</f>
        <v>0</v>
      </c>
      <c r="J20" s="29">
        <f t="shared" si="0"/>
        <v>-0.72525331368669865</v>
      </c>
    </row>
    <row r="21" spans="1:10" ht="15" customHeight="1">
      <c r="A21" s="5" t="s">
        <v>1387</v>
      </c>
      <c r="B21" s="16" t="s">
        <v>62</v>
      </c>
      <c r="C21" s="16" t="s">
        <v>190</v>
      </c>
      <c r="D21" s="27">
        <v>0.86214408618398009</v>
      </c>
      <c r="E21" s="16" t="s">
        <v>1368</v>
      </c>
      <c r="F21" s="16" t="s">
        <v>51</v>
      </c>
      <c r="G21" s="16" t="s">
        <v>1369</v>
      </c>
      <c r="H21" s="16" t="s">
        <v>1370</v>
      </c>
      <c r="I21" s="27">
        <f>IFERROR(COUNTIFS(assessments!$D$2:$D$264,B21,assessments!$H$2:$H$264,C21,assessments!$Q$2:$Q$264,"Ready")/COUNTIFS(assessments!$D$2:$D$264,B21,assessments!$H$2:$H$264,C21),0)</f>
        <v>0</v>
      </c>
      <c r="J21" s="29">
        <f t="shared" si="0"/>
        <v>-0.86214408618398009</v>
      </c>
    </row>
    <row r="22" spans="1:10" ht="15" customHeight="1">
      <c r="A22" s="5" t="s">
        <v>1388</v>
      </c>
      <c r="B22" s="16" t="s">
        <v>49</v>
      </c>
      <c r="C22" s="16" t="s">
        <v>146</v>
      </c>
      <c r="D22" s="27">
        <v>0.89287806483916932</v>
      </c>
      <c r="E22" s="16" t="s">
        <v>1359</v>
      </c>
      <c r="F22" s="16" t="s">
        <v>51</v>
      </c>
      <c r="G22" s="16" t="s">
        <v>1363</v>
      </c>
      <c r="H22" s="16" t="s">
        <v>1361</v>
      </c>
      <c r="I22" s="27">
        <f>IFERROR(COUNTIFS(assessments!$D$2:$D$264,B22,assessments!$H$2:$H$264,C22,assessments!$Q$2:$Q$264,"Ready")/COUNTIFS(assessments!$D$2:$D$264,B22,assessments!$H$2:$H$264,C22),0)</f>
        <v>0.4</v>
      </c>
      <c r="J22" s="29">
        <f t="shared" si="0"/>
        <v>-0.49287806483916929</v>
      </c>
    </row>
    <row r="23" spans="1:10" ht="15" customHeight="1">
      <c r="A23" s="5" t="s">
        <v>1389</v>
      </c>
      <c r="B23" s="16" t="s">
        <v>49</v>
      </c>
      <c r="C23" s="16" t="s">
        <v>155</v>
      </c>
      <c r="D23" s="27">
        <v>0.71346451407298439</v>
      </c>
      <c r="E23" s="16" t="s">
        <v>1359</v>
      </c>
      <c r="F23" s="16" t="s">
        <v>86</v>
      </c>
      <c r="G23" s="16" t="s">
        <v>1363</v>
      </c>
      <c r="H23" s="16" t="s">
        <v>1372</v>
      </c>
      <c r="I23" s="27">
        <f>IFERROR(COUNTIFS(assessments!$D$2:$D$264,B23,assessments!$H$2:$H$264,C23,assessments!$Q$2:$Q$264,"Ready")/COUNTIFS(assessments!$D$2:$D$264,B23,assessments!$H$2:$H$264,C23),0)</f>
        <v>0</v>
      </c>
      <c r="J23" s="29">
        <f t="shared" si="0"/>
        <v>-0.71346451407298439</v>
      </c>
    </row>
    <row r="24" spans="1:10" ht="15" customHeight="1">
      <c r="A24" s="5" t="s">
        <v>1390</v>
      </c>
      <c r="B24" s="16" t="s">
        <v>49</v>
      </c>
      <c r="C24" s="16" t="s">
        <v>158</v>
      </c>
      <c r="D24" s="27">
        <v>0.80081532415933898</v>
      </c>
      <c r="E24" s="16" t="s">
        <v>1359</v>
      </c>
      <c r="F24" s="16" t="s">
        <v>77</v>
      </c>
      <c r="G24" s="16" t="s">
        <v>1363</v>
      </c>
      <c r="H24" s="16" t="s">
        <v>1364</v>
      </c>
      <c r="I24" s="27">
        <f>IFERROR(COUNTIFS(assessments!$D$2:$D$264,B24,assessments!$H$2:$H$264,C24,assessments!$Q$2:$Q$264,"Ready")/COUNTIFS(assessments!$D$2:$D$264,B24,assessments!$H$2:$H$264,C24),0)</f>
        <v>0.5</v>
      </c>
      <c r="J24" s="29">
        <f t="shared" si="0"/>
        <v>-0.30081532415933898</v>
      </c>
    </row>
    <row r="25" spans="1:10" ht="15" customHeight="1">
      <c r="A25" s="5" t="s">
        <v>1391</v>
      </c>
      <c r="B25" s="16" t="s">
        <v>49</v>
      </c>
      <c r="C25" s="16" t="s">
        <v>164</v>
      </c>
      <c r="D25" s="27">
        <v>0.75348376445472232</v>
      </c>
      <c r="E25" s="16" t="s">
        <v>1368</v>
      </c>
      <c r="F25" s="16" t="s">
        <v>57</v>
      </c>
      <c r="G25" s="16" t="s">
        <v>1363</v>
      </c>
      <c r="H25" s="16" t="s">
        <v>1370</v>
      </c>
      <c r="I25" s="27">
        <f>IFERROR(COUNTIFS(assessments!$D$2:$D$264,B25,assessments!$H$2:$H$264,C25,assessments!$Q$2:$Q$264,"Ready")/COUNTIFS(assessments!$D$2:$D$264,B25,assessments!$H$2:$H$264,C25),0)</f>
        <v>0</v>
      </c>
      <c r="J25" s="29">
        <f t="shared" si="0"/>
        <v>-0.75348376445472232</v>
      </c>
    </row>
    <row r="26" spans="1:10" ht="15" customHeight="1">
      <c r="A26" s="5" t="s">
        <v>1392</v>
      </c>
      <c r="B26" s="16" t="s">
        <v>49</v>
      </c>
      <c r="C26" s="16" t="s">
        <v>66</v>
      </c>
      <c r="D26" s="27">
        <v>0.711055660014972</v>
      </c>
      <c r="E26" s="16" t="s">
        <v>1359</v>
      </c>
      <c r="F26" s="16" t="s">
        <v>83</v>
      </c>
      <c r="G26" s="16" t="s">
        <v>1360</v>
      </c>
      <c r="H26" s="16" t="s">
        <v>1366</v>
      </c>
      <c r="I26" s="27">
        <f>IFERROR(COUNTIFS(assessments!$D$2:$D$264,B26,assessments!$H$2:$H$264,C26,assessments!$Q$2:$Q$264,"Ready")/COUNTIFS(assessments!$D$2:$D$264,B26,assessments!$H$2:$H$264,C26),0)</f>
        <v>0.33333333333333331</v>
      </c>
      <c r="J26" s="29">
        <f t="shared" si="0"/>
        <v>-0.37772232668163869</v>
      </c>
    </row>
    <row r="27" spans="1:10" ht="15" customHeight="1">
      <c r="A27" s="5" t="s">
        <v>1393</v>
      </c>
      <c r="B27" s="16" t="s">
        <v>48</v>
      </c>
      <c r="C27" s="16" t="s">
        <v>146</v>
      </c>
      <c r="D27" s="27">
        <v>0.77795363557524977</v>
      </c>
      <c r="E27" s="16" t="s">
        <v>1359</v>
      </c>
      <c r="F27" s="16" t="s">
        <v>51</v>
      </c>
      <c r="G27" s="16" t="s">
        <v>1369</v>
      </c>
      <c r="H27" s="16" t="s">
        <v>1370</v>
      </c>
      <c r="I27" s="27">
        <f>IFERROR(COUNTIFS(assessments!$D$2:$D$264,B27,assessments!$H$2:$H$264,C27,assessments!$Q$2:$Q$264,"Ready")/COUNTIFS(assessments!$D$2:$D$264,B27,assessments!$H$2:$H$264,C27),0)</f>
        <v>0.2</v>
      </c>
      <c r="J27" s="29">
        <f t="shared" si="0"/>
        <v>-0.5779536355752497</v>
      </c>
    </row>
    <row r="28" spans="1:10" ht="15" customHeight="1">
      <c r="A28" s="5" t="s">
        <v>1394</v>
      </c>
      <c r="B28" s="16" t="s">
        <v>48</v>
      </c>
      <c r="C28" s="16" t="s">
        <v>155</v>
      </c>
      <c r="D28" s="27">
        <v>0.81097862310707569</v>
      </c>
      <c r="E28" s="16" t="s">
        <v>1368</v>
      </c>
      <c r="F28" s="16" t="s">
        <v>67</v>
      </c>
      <c r="G28" s="16" t="s">
        <v>1360</v>
      </c>
      <c r="H28" s="16" t="s">
        <v>1372</v>
      </c>
      <c r="I28" s="27">
        <f>IFERROR(COUNTIFS(assessments!$D$2:$D$264,B28,assessments!$H$2:$H$264,C28,assessments!$Q$2:$Q$264,"Ready")/COUNTIFS(assessments!$D$2:$D$264,B28,assessments!$H$2:$H$264,C28),0)</f>
        <v>0.16666666666666666</v>
      </c>
      <c r="J28" s="29">
        <f t="shared" si="0"/>
        <v>-0.64431195644040906</v>
      </c>
    </row>
    <row r="29" spans="1:10" ht="15" customHeight="1">
      <c r="A29" s="5" t="s">
        <v>1395</v>
      </c>
      <c r="B29" s="16" t="s">
        <v>48</v>
      </c>
      <c r="C29" s="16" t="s">
        <v>158</v>
      </c>
      <c r="D29" s="27">
        <v>0.76396893314085901</v>
      </c>
      <c r="E29" s="16" t="s">
        <v>1368</v>
      </c>
      <c r="F29" s="16" t="s">
        <v>51</v>
      </c>
      <c r="G29" s="16" t="s">
        <v>1360</v>
      </c>
      <c r="H29" s="16" t="s">
        <v>1364</v>
      </c>
      <c r="I29" s="27">
        <f>IFERROR(COUNTIFS(assessments!$D$2:$D$264,B29,assessments!$H$2:$H$264,C29,assessments!$Q$2:$Q$264,"Ready")/COUNTIFS(assessments!$D$2:$D$264,B29,assessments!$H$2:$H$264,C29),0)</f>
        <v>0</v>
      </c>
      <c r="J29" s="29">
        <f t="shared" si="0"/>
        <v>-0.76396893314085901</v>
      </c>
    </row>
    <row r="30" spans="1:10" ht="15" customHeight="1">
      <c r="A30" s="5" t="s">
        <v>1396</v>
      </c>
      <c r="B30" s="16" t="s">
        <v>48</v>
      </c>
      <c r="C30" s="16" t="s">
        <v>164</v>
      </c>
      <c r="D30" s="27">
        <v>0.80560412416234606</v>
      </c>
      <c r="E30" s="16" t="s">
        <v>1368</v>
      </c>
      <c r="F30" s="16" t="s">
        <v>77</v>
      </c>
      <c r="G30" s="16" t="s">
        <v>1369</v>
      </c>
      <c r="H30" s="16" t="s">
        <v>1364</v>
      </c>
      <c r="I30" s="27">
        <f>IFERROR(COUNTIFS(assessments!$D$2:$D$264,B30,assessments!$H$2:$H$264,C30,assessments!$Q$2:$Q$264,"Ready")/COUNTIFS(assessments!$D$2:$D$264,B30,assessments!$H$2:$H$264,C30),0)</f>
        <v>0.33333333333333331</v>
      </c>
      <c r="J30" s="29">
        <f t="shared" si="0"/>
        <v>-0.47227079082901274</v>
      </c>
    </row>
    <row r="31" spans="1:10" ht="15" customHeight="1">
      <c r="A31" s="5" t="s">
        <v>1397</v>
      </c>
      <c r="B31" s="16" t="s">
        <v>48</v>
      </c>
      <c r="C31" s="16" t="s">
        <v>66</v>
      </c>
      <c r="D31" s="27">
        <v>0.86214410946704445</v>
      </c>
      <c r="E31" s="16" t="s">
        <v>1368</v>
      </c>
      <c r="F31" s="16" t="s">
        <v>77</v>
      </c>
      <c r="G31" s="16" t="s">
        <v>1363</v>
      </c>
      <c r="H31" s="16" t="s">
        <v>1364</v>
      </c>
      <c r="I31" s="27">
        <f>IFERROR(COUNTIFS(assessments!$D$2:$D$264,B31,assessments!$H$2:$H$264,C31,assessments!$Q$2:$Q$264,"Ready")/COUNTIFS(assessments!$D$2:$D$264,B31,assessments!$H$2:$H$264,C31),0)</f>
        <v>0.33333333333333331</v>
      </c>
      <c r="J31" s="29">
        <f t="shared" si="0"/>
        <v>-0.52881077613371108</v>
      </c>
    </row>
    <row r="32" spans="1:10" ht="15" customHeight="1">
      <c r="A32" s="5" t="s">
        <v>1398</v>
      </c>
      <c r="B32" s="16" t="s">
        <v>48</v>
      </c>
      <c r="C32" s="16" t="s">
        <v>176</v>
      </c>
      <c r="D32" s="27">
        <v>0.75530641879886384</v>
      </c>
      <c r="E32" s="16" t="s">
        <v>1368</v>
      </c>
      <c r="F32" s="16" t="s">
        <v>67</v>
      </c>
      <c r="G32" s="16" t="s">
        <v>1360</v>
      </c>
      <c r="H32" s="16" t="s">
        <v>1366</v>
      </c>
      <c r="I32" s="27">
        <f>IFERROR(COUNTIFS(assessments!$D$2:$D$264,B32,assessments!$H$2:$H$264,C32,assessments!$Q$2:$Q$264,"Ready")/COUNTIFS(assessments!$D$2:$D$264,B32,assessments!$H$2:$H$264,C32),0)</f>
        <v>0.4</v>
      </c>
      <c r="J32" s="29">
        <f t="shared" si="0"/>
        <v>-0.35530641879886382</v>
      </c>
    </row>
    <row r="33" spans="1:10" ht="15" customHeight="1">
      <c r="A33" s="5" t="s">
        <v>1399</v>
      </c>
      <c r="B33" s="16" t="s">
        <v>97</v>
      </c>
      <c r="C33" s="16" t="s">
        <v>146</v>
      </c>
      <c r="D33" s="27">
        <v>0.88602934861555693</v>
      </c>
      <c r="E33" s="16" t="s">
        <v>1368</v>
      </c>
      <c r="F33" s="16" t="s">
        <v>67</v>
      </c>
      <c r="G33" s="16" t="s">
        <v>1363</v>
      </c>
      <c r="H33" s="16" t="s">
        <v>1364</v>
      </c>
      <c r="I33" s="27">
        <f>IFERROR(COUNTIFS(assessments!$D$2:$D$264,B33,assessments!$H$2:$H$264,C33,assessments!$Q$2:$Q$264,"Ready")/COUNTIFS(assessments!$D$2:$D$264,B33,assessments!$H$2:$H$264,C33),0)</f>
        <v>0</v>
      </c>
      <c r="J33" s="29">
        <f t="shared" si="0"/>
        <v>-0.88602934861555693</v>
      </c>
    </row>
    <row r="34" spans="1:10" ht="15" customHeight="1">
      <c r="A34" s="5" t="s">
        <v>1400</v>
      </c>
      <c r="B34" s="16" t="s">
        <v>97</v>
      </c>
      <c r="C34" s="16" t="s">
        <v>155</v>
      </c>
      <c r="D34" s="27">
        <v>0.81033774972893291</v>
      </c>
      <c r="E34" s="16" t="s">
        <v>1368</v>
      </c>
      <c r="F34" s="16" t="s">
        <v>51</v>
      </c>
      <c r="G34" s="16" t="s">
        <v>1360</v>
      </c>
      <c r="H34" s="16" t="s">
        <v>1370</v>
      </c>
      <c r="I34" s="27">
        <f>IFERROR(COUNTIFS(assessments!$D$2:$D$264,B34,assessments!$H$2:$H$264,C34,assessments!$Q$2:$Q$264,"Ready")/COUNTIFS(assessments!$D$2:$D$264,B34,assessments!$H$2:$H$264,C34),0)</f>
        <v>0.33333333333333331</v>
      </c>
      <c r="J34" s="29">
        <f t="shared" si="0"/>
        <v>-0.4770044163955996</v>
      </c>
    </row>
    <row r="35" spans="1:10" ht="15" customHeight="1">
      <c r="A35" s="5" t="s">
        <v>1401</v>
      </c>
      <c r="B35" s="16" t="s">
        <v>97</v>
      </c>
      <c r="C35" s="16" t="s">
        <v>158</v>
      </c>
      <c r="D35" s="27">
        <v>0.86218221168965092</v>
      </c>
      <c r="E35" s="16" t="s">
        <v>1368</v>
      </c>
      <c r="F35" s="16" t="s">
        <v>86</v>
      </c>
      <c r="G35" s="16" t="s">
        <v>1363</v>
      </c>
      <c r="H35" s="16" t="s">
        <v>1361</v>
      </c>
      <c r="I35" s="27">
        <f>IFERROR(COUNTIFS(assessments!$D$2:$D$264,B35,assessments!$H$2:$H$264,C35,assessments!$Q$2:$Q$264,"Ready")/COUNTIFS(assessments!$D$2:$D$264,B35,assessments!$H$2:$H$264,C35),0)</f>
        <v>0</v>
      </c>
      <c r="J35" s="29">
        <f t="shared" si="0"/>
        <v>-0.86218221168965092</v>
      </c>
    </row>
    <row r="36" spans="1:10" ht="15" customHeight="1">
      <c r="A36" s="5" t="s">
        <v>1402</v>
      </c>
      <c r="B36" s="16" t="s">
        <v>97</v>
      </c>
      <c r="C36" s="16" t="s">
        <v>164</v>
      </c>
      <c r="D36" s="27">
        <v>0.8921643442939966</v>
      </c>
      <c r="E36" s="16" t="s">
        <v>1359</v>
      </c>
      <c r="F36" s="16" t="s">
        <v>57</v>
      </c>
      <c r="G36" s="16" t="s">
        <v>1360</v>
      </c>
      <c r="H36" s="16" t="s">
        <v>1361</v>
      </c>
      <c r="I36" s="27">
        <f>IFERROR(COUNTIFS(assessments!$D$2:$D$264,B36,assessments!$H$2:$H$264,C36,assessments!$Q$2:$Q$264,"Ready")/COUNTIFS(assessments!$D$2:$D$264,B36,assessments!$H$2:$H$264,C36),0)</f>
        <v>0.4</v>
      </c>
      <c r="J36" s="29">
        <f t="shared" si="0"/>
        <v>-0.49216434429399658</v>
      </c>
    </row>
    <row r="37" spans="1:10" ht="15" customHeight="1">
      <c r="A37" s="5" t="s">
        <v>1403</v>
      </c>
      <c r="B37" s="16" t="s">
        <v>97</v>
      </c>
      <c r="C37" s="16" t="s">
        <v>66</v>
      </c>
      <c r="D37" s="27">
        <v>0.7815191979520022</v>
      </c>
      <c r="E37" s="16" t="s">
        <v>1368</v>
      </c>
      <c r="F37" s="16" t="s">
        <v>77</v>
      </c>
      <c r="G37" s="16" t="s">
        <v>1360</v>
      </c>
      <c r="H37" s="16" t="s">
        <v>1366</v>
      </c>
      <c r="I37" s="27">
        <f>IFERROR(COUNTIFS(assessments!$D$2:$D$264,B37,assessments!$H$2:$H$264,C37,assessments!$Q$2:$Q$264,"Ready")/COUNTIFS(assessments!$D$2:$D$264,B37,assessments!$H$2:$H$264,C37),0)</f>
        <v>0</v>
      </c>
      <c r="J37" s="29">
        <f t="shared" si="0"/>
        <v>-0.7815191979520022</v>
      </c>
    </row>
    <row r="38" spans="1:10" ht="15" customHeight="1">
      <c r="A38" s="5" t="s">
        <v>1404</v>
      </c>
      <c r="B38" s="16" t="s">
        <v>97</v>
      </c>
      <c r="C38" s="16" t="s">
        <v>176</v>
      </c>
      <c r="D38" s="27">
        <v>0.82101802085526288</v>
      </c>
      <c r="E38" s="16" t="s">
        <v>1368</v>
      </c>
      <c r="F38" s="16" t="s">
        <v>77</v>
      </c>
      <c r="G38" s="16" t="s">
        <v>1369</v>
      </c>
      <c r="H38" s="16" t="s">
        <v>1364</v>
      </c>
      <c r="I38" s="27">
        <f>IFERROR(COUNTIFS(assessments!$D$2:$D$264,B38,assessments!$H$2:$H$264,C38,assessments!$Q$2:$Q$264,"Ready")/COUNTIFS(assessments!$D$2:$D$264,B38,assessments!$H$2:$H$264,C38),0)</f>
        <v>0.33333333333333331</v>
      </c>
      <c r="J38" s="29">
        <f t="shared" si="0"/>
        <v>-0.48768468752192956</v>
      </c>
    </row>
    <row r="39" spans="1:10" ht="15" customHeight="1">
      <c r="A39" s="7" t="s">
        <v>1405</v>
      </c>
      <c r="B39" s="17" t="s">
        <v>97</v>
      </c>
      <c r="C39" s="17" t="s">
        <v>190</v>
      </c>
      <c r="D39" s="28">
        <v>0.88903698027133937</v>
      </c>
      <c r="E39" s="17" t="s">
        <v>1359</v>
      </c>
      <c r="F39" s="17" t="s">
        <v>51</v>
      </c>
      <c r="G39" s="17" t="s">
        <v>1360</v>
      </c>
      <c r="H39" s="17" t="s">
        <v>1366</v>
      </c>
      <c r="I39" s="28">
        <f>IFERROR(COUNTIFS(assessments!$D$2:$D$264,B39,assessments!$H$2:$H$264,C39,assessments!$Q$2:$Q$264,"Ready")/COUNTIFS(assessments!$D$2:$D$264,B39,assessments!$H$2:$H$264,C39),0)</f>
        <v>0.33333333333333331</v>
      </c>
      <c r="J39" s="30">
        <f t="shared" si="0"/>
        <v>-0.55570364693800611</v>
      </c>
    </row>
  </sheetData>
  <dataValidations count="1">
    <dataValidation type="list" sqref="G2:G39" xr:uid="{00000000-0002-0000-0900-000000000000}">
      <formula1>"On Track,At Risk,Needs Review"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5"/>
  <sheetViews>
    <sheetView showGridLines="0" workbookViewId="0"/>
  </sheetViews>
  <sheetFormatPr defaultRowHeight="13.5"/>
  <cols>
    <col min="1" max="1" width="26" customWidth="1"/>
    <col min="2" max="2" width="18" customWidth="1"/>
    <col min="4" max="8" width="19" customWidth="1"/>
    <col min="10" max="15" width="18" customWidth="1"/>
  </cols>
  <sheetData>
    <row r="1" spans="1:15" ht="28.05" customHeight="1">
      <c r="A1" s="37" t="s">
        <v>1406</v>
      </c>
      <c r="B1" s="38"/>
      <c r="C1" s="38"/>
      <c r="D1" s="38"/>
      <c r="E1" s="38"/>
      <c r="F1" s="38"/>
      <c r="G1" s="38"/>
      <c r="H1" s="38"/>
    </row>
    <row r="2" spans="1:15" ht="13.9">
      <c r="A2" s="39" t="s">
        <v>1407</v>
      </c>
      <c r="B2" s="38"/>
      <c r="C2" s="38"/>
      <c r="D2" s="38"/>
      <c r="E2" s="38"/>
      <c r="F2" s="38"/>
      <c r="G2" s="38"/>
      <c r="H2" s="38"/>
    </row>
    <row r="4" spans="1:15" ht="13.9">
      <c r="A4" s="9" t="s">
        <v>1408</v>
      </c>
      <c r="B4" s="10" t="s">
        <v>1409</v>
      </c>
      <c r="D4" s="9" t="s">
        <v>1410</v>
      </c>
      <c r="E4" s="18" t="s">
        <v>1411</v>
      </c>
      <c r="F4" s="18" t="s">
        <v>1412</v>
      </c>
      <c r="G4" s="18" t="s">
        <v>1413</v>
      </c>
      <c r="H4" s="10" t="s">
        <v>1414</v>
      </c>
      <c r="J4" s="9" t="s">
        <v>1415</v>
      </c>
      <c r="K4" s="18" t="s">
        <v>1411</v>
      </c>
      <c r="L4" s="18" t="s">
        <v>1416</v>
      </c>
      <c r="M4" s="18" t="s">
        <v>1417</v>
      </c>
      <c r="N4" s="10" t="s">
        <v>1418</v>
      </c>
    </row>
    <row r="5" spans="1:15">
      <c r="A5" s="1" t="s">
        <v>1419</v>
      </c>
      <c r="B5" s="2">
        <f>COUNTA(employees!$A$2:$A$37)</f>
        <v>36</v>
      </c>
      <c r="D5" s="1" t="s">
        <v>91</v>
      </c>
      <c r="E5" s="33">
        <f>IFERROR(AVERAGEIF(assessments!$D$2:$D$264,D5,assessments!$M$2:$M$264),0)</f>
        <v>1.5357142857142858</v>
      </c>
      <c r="F5">
        <f>COUNTIFS(assessments!$D$2:$D$264,D5,assessments!$P$2:$P$264,"&gt;=6")</f>
        <v>9</v>
      </c>
      <c r="G5">
        <f>COUNTIFS(assessments!$D$2:$D$264,D5,assessments!$R$2:$R$264,"Missing")</f>
        <v>4</v>
      </c>
      <c r="H5" s="2">
        <f ca="1">COUNTIFS(assessments!$D$2:$D$264,D5,assessments!$T$2:$T$264,"&gt;365")</f>
        <v>3</v>
      </c>
      <c r="J5" s="1" t="s">
        <v>583</v>
      </c>
      <c r="K5" s="33">
        <f>IFERROR(AVERAGEIF(assessment_history!$D$2:$D$381,J5,assessment_history!$G$2:$G$381),0)</f>
        <v>2.0842105263157893</v>
      </c>
      <c r="L5">
        <f>COUNTIFS(assessment_history!$D$2:$D$381,J5,assessment_history!$G$2:$G$381,0)</f>
        <v>1</v>
      </c>
      <c r="M5">
        <f>COUNTIF(assessment_history!$D$2:$D$381,J5)</f>
        <v>95</v>
      </c>
      <c r="N5" s="32">
        <f>IFERROR(L5/M5,0)</f>
        <v>1.0526315789473684E-2</v>
      </c>
    </row>
    <row r="6" spans="1:15">
      <c r="A6" s="1" t="s">
        <v>1420</v>
      </c>
      <c r="B6" s="2">
        <f>COUNTA(assessments!$A$2:$A$264)</f>
        <v>263</v>
      </c>
      <c r="D6" s="1" t="s">
        <v>76</v>
      </c>
      <c r="E6" s="33">
        <f>IFERROR(AVERAGEIF(assessments!$D$2:$D$264,D6,assessments!$M$2:$M$264),0)</f>
        <v>1.3111111111111111</v>
      </c>
      <c r="F6">
        <f>COUNTIFS(assessments!$D$2:$D$264,D6,assessments!$P$2:$P$264,"&gt;=6")</f>
        <v>12</v>
      </c>
      <c r="G6">
        <f>COUNTIFS(assessments!$D$2:$D$264,D6,assessments!$R$2:$R$264,"Missing")</f>
        <v>10</v>
      </c>
      <c r="H6" s="2">
        <f ca="1">COUNTIFS(assessments!$D$2:$D$264,D6,assessments!$T$2:$T$264,"&gt;365")</f>
        <v>6</v>
      </c>
      <c r="J6" s="1" t="s">
        <v>586</v>
      </c>
      <c r="K6" s="33">
        <f>IFERROR(AVERAGEIF(assessment_history!$D$2:$D$381,J6,assessment_history!$G$2:$G$381),0)</f>
        <v>1.5789473684210527</v>
      </c>
      <c r="L6">
        <f>COUNTIFS(assessment_history!$D$2:$D$381,J6,assessment_history!$G$2:$G$381,0)</f>
        <v>13</v>
      </c>
      <c r="M6">
        <f>COUNTIF(assessment_history!$D$2:$D$381,J6)</f>
        <v>95</v>
      </c>
      <c r="N6" s="32">
        <f>IFERROR(L6/M6,0)</f>
        <v>0.1368421052631579</v>
      </c>
    </row>
    <row r="7" spans="1:15">
      <c r="A7" s="1" t="s">
        <v>1421</v>
      </c>
      <c r="B7" s="32">
        <f>COUNTIF(assessments!$Q$2:$Q$264,"Ready")/COUNTA(assessments!$A$2:$A$264)</f>
        <v>0.2509505703422053</v>
      </c>
      <c r="D7" s="1" t="s">
        <v>62</v>
      </c>
      <c r="E7" s="33">
        <f>IFERROR(AVERAGEIF(assessments!$D$2:$D$264,D7,assessments!$M$2:$M$264),0)</f>
        <v>1.3833333333333333</v>
      </c>
      <c r="F7">
        <f>COUNTIFS(assessments!$D$2:$D$264,D7,assessments!$P$2:$P$264,"&gt;=6")</f>
        <v>12</v>
      </c>
      <c r="G7">
        <f>COUNTIFS(assessments!$D$2:$D$264,D7,assessments!$R$2:$R$264,"Missing")</f>
        <v>10</v>
      </c>
      <c r="H7" s="2">
        <f ca="1">COUNTIFS(assessments!$D$2:$D$264,D7,assessments!$T$2:$T$264,"&gt;365")</f>
        <v>11</v>
      </c>
      <c r="J7" s="1" t="s">
        <v>589</v>
      </c>
      <c r="K7" s="33">
        <f>IFERROR(AVERAGEIF(assessment_history!$D$2:$D$381,J7,assessment_history!$G$2:$G$381),0)</f>
        <v>0.88421052631578945</v>
      </c>
      <c r="L7">
        <f>COUNTIFS(assessment_history!$D$2:$D$381,J7,assessment_history!$G$2:$G$381,0)</f>
        <v>38</v>
      </c>
      <c r="M7">
        <f>COUNTIF(assessment_history!$D$2:$D$381,J7)</f>
        <v>95</v>
      </c>
      <c r="N7" s="32">
        <f>IFERROR(L7/M7,0)</f>
        <v>0.4</v>
      </c>
    </row>
    <row r="8" spans="1:15">
      <c r="A8" s="1" t="s">
        <v>1422</v>
      </c>
      <c r="B8" s="2">
        <f>COUNTIF(assessments!$P$2:$P$264,"&gt;=6")</f>
        <v>68</v>
      </c>
      <c r="D8" s="1" t="s">
        <v>49</v>
      </c>
      <c r="E8" s="33">
        <f>IFERROR(AVERAGEIF(assessments!$D$2:$D$264,D8,assessments!$M$2:$M$264),0)</f>
        <v>1.28</v>
      </c>
      <c r="F8">
        <f>COUNTIFS(assessments!$D$2:$D$264,D8,assessments!$P$2:$P$264,"&gt;=6")</f>
        <v>15</v>
      </c>
      <c r="G8">
        <f>COUNTIFS(assessments!$D$2:$D$264,D8,assessments!$R$2:$R$264,"Missing")</f>
        <v>16</v>
      </c>
      <c r="H8" s="2">
        <f ca="1">COUNTIFS(assessments!$D$2:$D$264,D8,assessments!$T$2:$T$264,"&gt;365")</f>
        <v>8</v>
      </c>
      <c r="J8" s="3" t="s">
        <v>591</v>
      </c>
      <c r="K8" s="34">
        <f>IFERROR(AVERAGEIF(assessment_history!$D$2:$D$381,J8,assessment_history!$G$2:$G$381),0)</f>
        <v>0.30526315789473685</v>
      </c>
      <c r="L8" s="15">
        <f>COUNTIFS(assessment_history!$D$2:$D$381,J8,assessment_history!$G$2:$G$381,0)</f>
        <v>68</v>
      </c>
      <c r="M8" s="15">
        <f>COUNTIF(assessment_history!$D$2:$D$381,J8)</f>
        <v>95</v>
      </c>
      <c r="N8" s="35">
        <f>IFERROR(L8/M8,0)</f>
        <v>0.71578947368421053</v>
      </c>
    </row>
    <row r="9" spans="1:15">
      <c r="A9" s="1" t="s">
        <v>1423</v>
      </c>
      <c r="B9" s="2">
        <f ca="1">COUNTIF(assessments!$W$2:$W$264,"&lt;&gt;OK")</f>
        <v>118</v>
      </c>
      <c r="D9" s="1" t="s">
        <v>48</v>
      </c>
      <c r="E9" s="33">
        <f>IFERROR(AVERAGEIF(assessments!$D$2:$D$264,D9,assessments!$M$2:$M$264),0)</f>
        <v>1.24</v>
      </c>
      <c r="F9">
        <f>COUNTIFS(assessments!$D$2:$D$264,D9,assessments!$P$2:$P$264,"&gt;=6")</f>
        <v>10</v>
      </c>
      <c r="G9">
        <f>COUNTIFS(assessments!$D$2:$D$264,D9,assessments!$R$2:$R$264,"Missing")</f>
        <v>12</v>
      </c>
      <c r="H9" s="2">
        <f ca="1">COUNTIFS(assessments!$D$2:$D$264,D9,assessments!$T$2:$T$264,"&gt;365")</f>
        <v>9</v>
      </c>
    </row>
    <row r="10" spans="1:15">
      <c r="A10" s="1" t="s">
        <v>1424</v>
      </c>
      <c r="B10" s="2">
        <f>COUNTIF(training_actions!$H$2:$H$59,"&lt;&gt;Completed")</f>
        <v>50</v>
      </c>
      <c r="D10" s="3" t="s">
        <v>97</v>
      </c>
      <c r="E10" s="34">
        <f>IFERROR(AVERAGEIF(assessments!$D$2:$D$264,D10,assessments!$M$2:$M$264),0)</f>
        <v>1.3666666666666667</v>
      </c>
      <c r="F10" s="15">
        <f>COUNTIFS(assessments!$D$2:$D$264,D10,assessments!$P$2:$P$264,"&gt;=6")</f>
        <v>10</v>
      </c>
      <c r="G10" s="15">
        <f>COUNTIFS(assessments!$D$2:$D$264,D10,assessments!$R$2:$R$264,"Missing")</f>
        <v>9</v>
      </c>
      <c r="H10" s="4">
        <f ca="1">COUNTIFS(assessments!$D$2:$D$264,D10,assessments!$T$2:$T$264,"&gt;365")</f>
        <v>4</v>
      </c>
    </row>
    <row r="11" spans="1:15" ht="13.9">
      <c r="A11" s="1" t="s">
        <v>1425</v>
      </c>
      <c r="B11" s="2">
        <f>COUNTIF(evidence_log!$G$2:$G$151,"Pending Review")+COUNTIF(evidence_log!$G$2:$G$151,"Needs Rework")</f>
        <v>51</v>
      </c>
      <c r="J11" s="9" t="s">
        <v>1410</v>
      </c>
      <c r="K11" s="18" t="s">
        <v>1426</v>
      </c>
      <c r="L11" s="18" t="s">
        <v>1427</v>
      </c>
      <c r="M11" s="18" t="s">
        <v>1428</v>
      </c>
      <c r="N11" s="18" t="s">
        <v>1429</v>
      </c>
      <c r="O11" s="10" t="s">
        <v>1430</v>
      </c>
    </row>
    <row r="12" spans="1:15">
      <c r="A12" s="1" t="s">
        <v>1431</v>
      </c>
      <c r="B12" s="2">
        <f>COUNTIF(access_audit!$I$2:$I$37,"Open")+COUNTIF(access_audit!$I$2:$I$37,"In Progress")+COUNTIF(access_audit!$I$2:$I$37,"Escalated")</f>
        <v>27</v>
      </c>
      <c r="J12" s="1" t="s">
        <v>91</v>
      </c>
      <c r="K12">
        <f>COUNTIF(competency_targets!$B$2:$B$39,J12)</f>
        <v>7</v>
      </c>
      <c r="L12">
        <f>COUNTIFS(competency_targets!$B$2:$B$39,J12,competency_targets!$J$2:$J$39,"&lt;0")</f>
        <v>6</v>
      </c>
      <c r="M12" s="31">
        <f>IFERROR(AVERAGEIF(competency_targets!$B$2:$B$39,J12,competency_targets!$I$2:$I$39),0)</f>
        <v>0.27380952380952378</v>
      </c>
      <c r="N12" s="31">
        <f>IFERROR(AVERAGEIF(competency_targets!$B$2:$B$39,J12,competency_targets!$D$2:$D$39),0)</f>
        <v>0.77935161229356065</v>
      </c>
      <c r="O12" s="32">
        <f t="shared" ref="O12:O17" si="0">M12-N12</f>
        <v>-0.50554208848403692</v>
      </c>
    </row>
    <row r="13" spans="1:15">
      <c r="A13" s="1" t="s">
        <v>1432</v>
      </c>
      <c r="B13" s="2">
        <f>COUNTIF(competency_targets!$J$2:$J$39,"&lt;0")</f>
        <v>35</v>
      </c>
      <c r="J13" s="1" t="s">
        <v>76</v>
      </c>
      <c r="K13">
        <f>COUNTIF(competency_targets!$B$2:$B$39,J13)</f>
        <v>6</v>
      </c>
      <c r="L13">
        <f>COUNTIFS(competency_targets!$B$2:$B$39,J13,competency_targets!$J$2:$J$39,"&lt;0")</f>
        <v>4</v>
      </c>
      <c r="M13" s="31">
        <f>IFERROR(AVERAGEIF(competency_targets!$B$2:$B$39,J13,competency_targets!$I$2:$I$39),0)</f>
        <v>0.45</v>
      </c>
      <c r="N13" s="31">
        <f>IFERROR(AVERAGEIF(competency_targets!$B$2:$B$39,J13,competency_targets!$D$2:$D$39),0)</f>
        <v>0.80356249965261661</v>
      </c>
      <c r="O13" s="32">
        <f t="shared" si="0"/>
        <v>-0.3535624996526166</v>
      </c>
    </row>
    <row r="14" spans="1:15">
      <c r="A14" s="3" t="s">
        <v>1433</v>
      </c>
      <c r="B14" s="4">
        <f>COUNTA(assessment_history!$A$2:$A$381)</f>
        <v>380</v>
      </c>
      <c r="J14" s="1" t="s">
        <v>62</v>
      </c>
      <c r="K14">
        <f>COUNTIF(competency_targets!$B$2:$B$39,J14)</f>
        <v>7</v>
      </c>
      <c r="L14">
        <f>COUNTIFS(competency_targets!$B$2:$B$39,J14,competency_targets!$J$2:$J$39,"&lt;0")</f>
        <v>7</v>
      </c>
      <c r="M14" s="31">
        <f>IFERROR(AVERAGEIF(competency_targets!$B$2:$B$39,J14,competency_targets!$I$2:$I$39),0)</f>
        <v>0.17278911564625851</v>
      </c>
      <c r="N14" s="31">
        <f>IFERROR(AVERAGEIF(competency_targets!$B$2:$B$39,J14,competency_targets!$D$2:$D$39),0)</f>
        <v>0.80692953906421139</v>
      </c>
      <c r="O14" s="32">
        <f t="shared" si="0"/>
        <v>-0.63414042341795285</v>
      </c>
    </row>
    <row r="15" spans="1:15">
      <c r="J15" s="1" t="s">
        <v>49</v>
      </c>
      <c r="K15">
        <f>COUNTIF(competency_targets!$B$2:$B$39,J15)</f>
        <v>5</v>
      </c>
      <c r="L15">
        <f>COUNTIFS(competency_targets!$B$2:$B$39,J15,competency_targets!$J$2:$J$39,"&lt;0")</f>
        <v>5</v>
      </c>
      <c r="M15" s="31">
        <f>IFERROR(AVERAGEIF(competency_targets!$B$2:$B$39,J15,competency_targets!$I$2:$I$39),0)</f>
        <v>0.24666666666666667</v>
      </c>
      <c r="N15" s="31">
        <f>IFERROR(AVERAGEIF(competency_targets!$B$2:$B$39,J15,competency_targets!$D$2:$D$39),0)</f>
        <v>0.7743394655082374</v>
      </c>
      <c r="O15" s="32">
        <f t="shared" si="0"/>
        <v>-0.5276727988415707</v>
      </c>
    </row>
    <row r="16" spans="1:15">
      <c r="J16" s="1" t="s">
        <v>48</v>
      </c>
      <c r="K16">
        <f>COUNTIF(competency_targets!$B$2:$B$39,J16)</f>
        <v>6</v>
      </c>
      <c r="L16">
        <f>COUNTIFS(competency_targets!$B$2:$B$39,J16,competency_targets!$J$2:$J$39,"&lt;0")</f>
        <v>6</v>
      </c>
      <c r="M16" s="31">
        <f>IFERROR(AVERAGEIF(competency_targets!$B$2:$B$39,J16,competency_targets!$I$2:$I$39),0)</f>
        <v>0.23888888888888885</v>
      </c>
      <c r="N16" s="31">
        <f>IFERROR(AVERAGEIF(competency_targets!$B$2:$B$39,J16,competency_targets!$D$2:$D$39),0)</f>
        <v>0.79599264070857323</v>
      </c>
      <c r="O16" s="32">
        <f t="shared" si="0"/>
        <v>-0.55710375181968441</v>
      </c>
    </row>
    <row r="17" spans="1:15">
      <c r="J17" s="3" t="s">
        <v>97</v>
      </c>
      <c r="K17" s="15">
        <f>COUNTIF(competency_targets!$B$2:$B$39,J17)</f>
        <v>7</v>
      </c>
      <c r="L17" s="15">
        <f>COUNTIFS(competency_targets!$B$2:$B$39,J17,competency_targets!$J$2:$J$39,"&lt;0")</f>
        <v>7</v>
      </c>
      <c r="M17" s="36">
        <f>IFERROR(AVERAGEIF(competency_targets!$B$2:$B$39,J17,competency_targets!$I$2:$I$39),0)</f>
        <v>0.19999999999999998</v>
      </c>
      <c r="N17" s="36">
        <f>IFERROR(AVERAGEIF(competency_targets!$B$2:$B$39,J17,competency_targets!$D$2:$D$39),0)</f>
        <v>0.84889826477239172</v>
      </c>
      <c r="O17" s="35">
        <f t="shared" si="0"/>
        <v>-0.64889826477239176</v>
      </c>
    </row>
    <row r="20" spans="1:15" ht="41.65">
      <c r="A20" s="9" t="s">
        <v>1434</v>
      </c>
      <c r="B20" s="18" t="s">
        <v>1411</v>
      </c>
      <c r="C20" s="18" t="s">
        <v>1412</v>
      </c>
      <c r="D20" s="18" t="s">
        <v>1435</v>
      </c>
      <c r="E20" s="10" t="s">
        <v>1413</v>
      </c>
    </row>
    <row r="21" spans="1:15">
      <c r="A21" s="1" t="s">
        <v>146</v>
      </c>
      <c r="B21" s="33">
        <f>IFERROR(AVERAGEIF(assessments!$H$2:$H$264,A21,assessments!$M$2:$M$264),0)</f>
        <v>1.1904761904761905</v>
      </c>
      <c r="C21">
        <f>COUNTIFS(assessments!$H$2:$H$264,A21,assessments!$P$2:$P$264,"&gt;=6")</f>
        <v>4</v>
      </c>
      <c r="D21">
        <f>COUNTIF(assessments!$H$2:$H$264,A21)</f>
        <v>21</v>
      </c>
      <c r="E21" s="2">
        <f>COUNTIFS(assessments!$H$2:$H$264,A21,assessments!$R$2:$R$264,"Missing")</f>
        <v>3</v>
      </c>
    </row>
    <row r="22" spans="1:15">
      <c r="A22" s="1" t="s">
        <v>155</v>
      </c>
      <c r="B22" s="33">
        <f>IFERROR(AVERAGEIF(assessments!$H$2:$H$264,A22,assessments!$M$2:$M$264),0)</f>
        <v>1.6538461538461537</v>
      </c>
      <c r="C22">
        <f>COUNTIFS(assessments!$H$2:$H$264,A22,assessments!$P$2:$P$264,"&gt;=6")</f>
        <v>13</v>
      </c>
      <c r="D22">
        <f>COUNTIF(assessments!$H$2:$H$264,A22)</f>
        <v>26</v>
      </c>
      <c r="E22" s="2">
        <f>COUNTIFS(assessments!$H$2:$H$264,A22,assessments!$R$2:$R$264,"Missing")</f>
        <v>2</v>
      </c>
    </row>
    <row r="23" spans="1:15">
      <c r="A23" s="1" t="s">
        <v>158</v>
      </c>
      <c r="B23" s="33">
        <f>IFERROR(AVERAGEIF(assessments!$H$2:$H$264,A23,assessments!$M$2:$M$264),0)</f>
        <v>1.1111111111111112</v>
      </c>
      <c r="C23">
        <f>COUNTIFS(assessments!$H$2:$H$264,A23,assessments!$P$2:$P$264,"&gt;=6")</f>
        <v>2</v>
      </c>
      <c r="D23">
        <f>COUNTIF(assessments!$H$2:$H$264,A23)</f>
        <v>9</v>
      </c>
      <c r="E23" s="2">
        <f>COUNTIFS(assessments!$H$2:$H$264,A23,assessments!$R$2:$R$264,"Missing")</f>
        <v>2</v>
      </c>
    </row>
    <row r="24" spans="1:15">
      <c r="A24" s="1" t="s">
        <v>161</v>
      </c>
      <c r="B24" s="33">
        <f>IFERROR(AVERAGEIF(assessments!$H$2:$H$264,A24,assessments!$M$2:$M$264),0)</f>
        <v>1.0810810810810811</v>
      </c>
      <c r="C24">
        <f>COUNTIFS(assessments!$H$2:$H$264,A24,assessments!$P$2:$P$264,"&gt;=6")</f>
        <v>0</v>
      </c>
      <c r="D24">
        <f>COUNTIF(assessments!$H$2:$H$264,A24)</f>
        <v>37</v>
      </c>
      <c r="E24" s="2">
        <f>COUNTIFS(assessments!$H$2:$H$264,A24,assessments!$R$2:$R$264,"Missing")</f>
        <v>9</v>
      </c>
    </row>
    <row r="25" spans="1:15">
      <c r="A25" s="1" t="s">
        <v>164</v>
      </c>
      <c r="B25" s="33">
        <f>IFERROR(AVERAGEIF(assessments!$H$2:$H$264,A25,assessments!$M$2:$M$264),0)</f>
        <v>1.5925925925925926</v>
      </c>
      <c r="C25">
        <f>COUNTIFS(assessments!$H$2:$H$264,A25,assessments!$P$2:$P$264,"&gt;=6")</f>
        <v>16</v>
      </c>
      <c r="D25">
        <f>COUNTIF(assessments!$H$2:$H$264,A25)</f>
        <v>27</v>
      </c>
      <c r="E25" s="2">
        <f>COUNTIFS(assessments!$H$2:$H$264,A25,assessments!$R$2:$R$264,"Missing")</f>
        <v>11</v>
      </c>
    </row>
    <row r="26" spans="1:15">
      <c r="A26" s="1" t="s">
        <v>167</v>
      </c>
      <c r="B26" s="33">
        <f>IFERROR(AVERAGEIF(assessments!$H$2:$H$264,A26,assessments!$M$2:$M$264),0)</f>
        <v>1.75</v>
      </c>
      <c r="C26">
        <f>COUNTIFS(assessments!$H$2:$H$264,A26,assessments!$P$2:$P$264,"&gt;=6")</f>
        <v>3</v>
      </c>
      <c r="D26">
        <f>COUNTIF(assessments!$H$2:$H$264,A26)</f>
        <v>4</v>
      </c>
      <c r="E26" s="2">
        <f>COUNTIFS(assessments!$H$2:$H$264,A26,assessments!$R$2:$R$264,"Missing")</f>
        <v>1</v>
      </c>
    </row>
    <row r="27" spans="1:15">
      <c r="A27" s="1" t="s">
        <v>66</v>
      </c>
      <c r="B27" s="33">
        <f>IFERROR(AVERAGEIF(assessments!$H$2:$H$264,A27,assessments!$M$2:$M$264),0)</f>
        <v>1.3888888888888888</v>
      </c>
      <c r="C27">
        <f>COUNTIFS(assessments!$H$2:$H$264,A27,assessments!$P$2:$P$264,"&gt;=6")</f>
        <v>5</v>
      </c>
      <c r="D27">
        <f>COUNTIF(assessments!$H$2:$H$264,A27)</f>
        <v>18</v>
      </c>
      <c r="E27" s="2">
        <f>COUNTIFS(assessments!$H$2:$H$264,A27,assessments!$R$2:$R$264,"Missing")</f>
        <v>3</v>
      </c>
    </row>
    <row r="28" spans="1:15">
      <c r="A28" s="1" t="s">
        <v>176</v>
      </c>
      <c r="B28" s="33">
        <f>IFERROR(AVERAGEIF(assessments!$H$2:$H$264,A28,assessments!$M$2:$M$264),0)</f>
        <v>1.6538461538461537</v>
      </c>
      <c r="C28">
        <f>COUNTIFS(assessments!$H$2:$H$264,A28,assessments!$P$2:$P$264,"&gt;=6")</f>
        <v>14</v>
      </c>
      <c r="D28">
        <f>COUNTIF(assessments!$H$2:$H$264,A28)</f>
        <v>26</v>
      </c>
      <c r="E28" s="2">
        <f>COUNTIFS(assessments!$H$2:$H$264,A28,assessments!$R$2:$R$264,"Missing")</f>
        <v>6</v>
      </c>
    </row>
    <row r="29" spans="1:15">
      <c r="A29" s="1" t="s">
        <v>179</v>
      </c>
      <c r="B29" s="33">
        <f>IFERROR(AVERAGEIF(assessments!$H$2:$H$264,A29,assessments!$M$2:$M$264),0)</f>
        <v>1.2758620689655173</v>
      </c>
      <c r="C29">
        <f>COUNTIFS(assessments!$H$2:$H$264,A29,assessments!$P$2:$P$264,"&gt;=6")</f>
        <v>0</v>
      </c>
      <c r="D29">
        <f>COUNTIF(assessments!$H$2:$H$264,A29)</f>
        <v>29</v>
      </c>
      <c r="E29" s="2">
        <f>COUNTIFS(assessments!$H$2:$H$264,A29,assessments!$R$2:$R$264,"Missing")</f>
        <v>9</v>
      </c>
    </row>
    <row r="30" spans="1:15">
      <c r="A30" s="1" t="s">
        <v>184</v>
      </c>
      <c r="B30" s="33">
        <f>IFERROR(AVERAGEIF(assessments!$H$2:$H$264,A30,assessments!$M$2:$M$264),0)</f>
        <v>1</v>
      </c>
      <c r="C30">
        <f>COUNTIFS(assessments!$H$2:$H$264,A30,assessments!$P$2:$P$264,"&gt;=6")</f>
        <v>0</v>
      </c>
      <c r="D30">
        <f>COUNTIF(assessments!$H$2:$H$264,A30)</f>
        <v>5</v>
      </c>
      <c r="E30" s="2">
        <f>COUNTIFS(assessments!$H$2:$H$264,A30,assessments!$R$2:$R$264,"Missing")</f>
        <v>0</v>
      </c>
    </row>
    <row r="31" spans="1:15">
      <c r="A31" s="1" t="s">
        <v>187</v>
      </c>
      <c r="B31" s="33">
        <f>IFERROR(AVERAGEIF(assessments!$H$2:$H$264,A31,assessments!$M$2:$M$264),0)</f>
        <v>2</v>
      </c>
      <c r="C31">
        <f>COUNTIFS(assessments!$H$2:$H$264,A31,assessments!$P$2:$P$264,"&gt;=6")</f>
        <v>0</v>
      </c>
      <c r="D31">
        <f>COUNTIF(assessments!$H$2:$H$264,A31)</f>
        <v>4</v>
      </c>
      <c r="E31" s="2">
        <f>COUNTIFS(assessments!$H$2:$H$264,A31,assessments!$R$2:$R$264,"Missing")</f>
        <v>2</v>
      </c>
    </row>
    <row r="32" spans="1:15">
      <c r="A32" s="1" t="s">
        <v>190</v>
      </c>
      <c r="B32" s="33">
        <f>IFERROR(AVERAGEIF(assessments!$H$2:$H$264,A32,assessments!$M$2:$M$264),0)</f>
        <v>0.95454545454545459</v>
      </c>
      <c r="C32">
        <f>COUNTIFS(assessments!$H$2:$H$264,A32,assessments!$P$2:$P$264,"&gt;=6")</f>
        <v>6</v>
      </c>
      <c r="D32">
        <f>COUNTIF(assessments!$H$2:$H$264,A32)</f>
        <v>22</v>
      </c>
      <c r="E32" s="2">
        <f>COUNTIFS(assessments!$H$2:$H$264,A32,assessments!$R$2:$R$264,"Missing")</f>
        <v>6</v>
      </c>
    </row>
    <row r="33" spans="1:5">
      <c r="A33" s="1" t="s">
        <v>195</v>
      </c>
      <c r="B33" s="33">
        <f>IFERROR(AVERAGEIF(assessments!$H$2:$H$264,A33,assessments!$M$2:$M$264),0)</f>
        <v>0.66666666666666663</v>
      </c>
      <c r="C33">
        <f>COUNTIFS(assessments!$H$2:$H$264,A33,assessments!$P$2:$P$264,"&gt;=6")</f>
        <v>1</v>
      </c>
      <c r="D33">
        <f>COUNTIF(assessments!$H$2:$H$264,A33)</f>
        <v>6</v>
      </c>
      <c r="E33" s="2">
        <f>COUNTIFS(assessments!$H$2:$H$264,A33,assessments!$R$2:$R$264,"Missing")</f>
        <v>2</v>
      </c>
    </row>
    <row r="34" spans="1:5">
      <c r="A34" s="1" t="s">
        <v>198</v>
      </c>
      <c r="B34" s="33">
        <f>IFERROR(AVERAGEIF(assessments!$H$2:$H$264,A34,assessments!$M$2:$M$264),0)</f>
        <v>1.32</v>
      </c>
      <c r="C34">
        <f>COUNTIFS(assessments!$H$2:$H$264,A34,assessments!$P$2:$P$264,"&gt;=6")</f>
        <v>0</v>
      </c>
      <c r="D34">
        <f>COUNTIF(assessments!$H$2:$H$264,A34)</f>
        <v>25</v>
      </c>
      <c r="E34" s="2">
        <f>COUNTIFS(assessments!$H$2:$H$264,A34,assessments!$R$2:$R$264,"Missing")</f>
        <v>3</v>
      </c>
    </row>
    <row r="35" spans="1:5">
      <c r="A35" s="3" t="s">
        <v>48</v>
      </c>
      <c r="B35" s="34">
        <f>IFERROR(AVERAGEIF(assessments!$H$2:$H$264,A35,assessments!$M$2:$M$264),0)</f>
        <v>2</v>
      </c>
      <c r="C35" s="15">
        <f>COUNTIFS(assessments!$H$2:$H$264,A35,assessments!$P$2:$P$264,"&gt;=6")</f>
        <v>4</v>
      </c>
      <c r="D35" s="15">
        <f>COUNTIF(assessments!$H$2:$H$264,A35)</f>
        <v>4</v>
      </c>
      <c r="E35" s="4">
        <f>COUNTIFS(assessments!$H$2:$H$264,A35,assessments!$R$2:$R$264,"Missing")</f>
        <v>2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 Brief</vt:lpstr>
      <vt:lpstr>employees</vt:lpstr>
      <vt:lpstr>competency_model</vt:lpstr>
      <vt:lpstr>assessments</vt:lpstr>
      <vt:lpstr>training_actions</vt:lpstr>
      <vt:lpstr>assessment_history</vt:lpstr>
      <vt:lpstr>evidence_log</vt:lpstr>
      <vt:lpstr>access_audit</vt:lpstr>
      <vt:lpstr>competency_targets</vt:lpstr>
      <vt:lpstr>dashboard_seed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wai shek so</cp:lastModifiedBy>
  <dcterms:modified xsi:type="dcterms:W3CDTF">2026-06-29T14:45:08Z</dcterms:modified>
</cp:coreProperties>
</file>